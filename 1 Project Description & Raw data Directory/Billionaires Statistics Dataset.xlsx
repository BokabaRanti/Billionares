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727093A7-E249-4EE0-99D5-9D6A9305A44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ver Page" sheetId="2" r:id="rId1"/>
    <sheet name="Data" sheetId="1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V153" i="4" s="1"/>
  <c r="W154" i="4"/>
  <c r="W155" i="4"/>
  <c r="W156" i="4"/>
  <c r="W157" i="4"/>
  <c r="V157" i="4" s="1"/>
  <c r="W158" i="4"/>
  <c r="W159" i="4"/>
  <c r="W160" i="4"/>
  <c r="W161" i="4"/>
  <c r="V161" i="4" s="1"/>
  <c r="W162" i="4"/>
  <c r="W163" i="4"/>
  <c r="W164" i="4"/>
  <c r="W165" i="4"/>
  <c r="V165" i="4" s="1"/>
  <c r="W166" i="4"/>
  <c r="W167" i="4"/>
  <c r="W168" i="4"/>
  <c r="W169" i="4"/>
  <c r="V169" i="4" s="1"/>
  <c r="W170" i="4"/>
  <c r="W171" i="4"/>
  <c r="W172" i="4"/>
  <c r="W173" i="4"/>
  <c r="V173" i="4" s="1"/>
  <c r="W174" i="4"/>
  <c r="W175" i="4"/>
  <c r="W176" i="4"/>
  <c r="W177" i="4"/>
  <c r="V177" i="4" s="1"/>
  <c r="W178" i="4"/>
  <c r="W179" i="4"/>
  <c r="W180" i="4"/>
  <c r="W181" i="4"/>
  <c r="V181" i="4" s="1"/>
  <c r="W182" i="4"/>
  <c r="W183" i="4"/>
  <c r="W184" i="4"/>
  <c r="W185" i="4"/>
  <c r="V185" i="4" s="1"/>
  <c r="W186" i="4"/>
  <c r="W187" i="4"/>
  <c r="W188" i="4"/>
  <c r="W189" i="4"/>
  <c r="V189" i="4" s="1"/>
  <c r="W190" i="4"/>
  <c r="W191" i="4"/>
  <c r="W192" i="4"/>
  <c r="W193" i="4"/>
  <c r="V193" i="4" s="1"/>
  <c r="W194" i="4"/>
  <c r="W195" i="4"/>
  <c r="W196" i="4"/>
  <c r="W197" i="4"/>
  <c r="V197" i="4" s="1"/>
  <c r="W198" i="4"/>
  <c r="W199" i="4"/>
  <c r="W200" i="4"/>
  <c r="W201" i="4"/>
  <c r="V201" i="4" s="1"/>
  <c r="W202" i="4"/>
  <c r="W203" i="4"/>
  <c r="W204" i="4"/>
  <c r="W205" i="4"/>
  <c r="V205" i="4" s="1"/>
  <c r="W206" i="4"/>
  <c r="W207" i="4"/>
  <c r="W208" i="4"/>
  <c r="W209" i="4"/>
  <c r="V209" i="4" s="1"/>
  <c r="W210" i="4"/>
  <c r="W211" i="4"/>
  <c r="W212" i="4"/>
  <c r="W213" i="4"/>
  <c r="V213" i="4" s="1"/>
  <c r="W214" i="4"/>
  <c r="W215" i="4"/>
  <c r="W216" i="4"/>
  <c r="W217" i="4"/>
  <c r="V217" i="4" s="1"/>
  <c r="W218" i="4"/>
  <c r="W219" i="4"/>
  <c r="W220" i="4"/>
  <c r="W221" i="4"/>
  <c r="V221" i="4" s="1"/>
  <c r="W222" i="4"/>
  <c r="W223" i="4"/>
  <c r="W224" i="4"/>
  <c r="W225" i="4"/>
  <c r="V225" i="4" s="1"/>
  <c r="W226" i="4"/>
  <c r="W227" i="4"/>
  <c r="W228" i="4"/>
  <c r="W229" i="4"/>
  <c r="V229" i="4" s="1"/>
  <c r="W230" i="4"/>
  <c r="W231" i="4"/>
  <c r="W232" i="4"/>
  <c r="W233" i="4"/>
  <c r="V233" i="4" s="1"/>
  <c r="W234" i="4"/>
  <c r="W235" i="4"/>
  <c r="W236" i="4"/>
  <c r="W237" i="4"/>
  <c r="V237" i="4" s="1"/>
  <c r="W238" i="4"/>
  <c r="W239" i="4"/>
  <c r="W240" i="4"/>
  <c r="W241" i="4"/>
  <c r="V241" i="4" s="1"/>
  <c r="W242" i="4"/>
  <c r="W243" i="4"/>
  <c r="W244" i="4"/>
  <c r="W245" i="4"/>
  <c r="V245" i="4" s="1"/>
  <c r="W246" i="4"/>
  <c r="W247" i="4"/>
  <c r="W248" i="4"/>
  <c r="W249" i="4"/>
  <c r="V249" i="4" s="1"/>
  <c r="W250" i="4"/>
  <c r="W251" i="4"/>
  <c r="W252" i="4"/>
  <c r="W253" i="4"/>
  <c r="V253" i="4" s="1"/>
  <c r="W254" i="4"/>
  <c r="W255" i="4"/>
  <c r="W256" i="4"/>
  <c r="W257" i="4"/>
  <c r="V257" i="4" s="1"/>
  <c r="W258" i="4"/>
  <c r="W259" i="4"/>
  <c r="W260" i="4"/>
  <c r="W261" i="4"/>
  <c r="V261" i="4" s="1"/>
  <c r="W262" i="4"/>
  <c r="W263" i="4"/>
  <c r="W264" i="4"/>
  <c r="W265" i="4"/>
  <c r="V265" i="4" s="1"/>
  <c r="W266" i="4"/>
  <c r="W267" i="4"/>
  <c r="W268" i="4"/>
  <c r="W269" i="4"/>
  <c r="V269" i="4" s="1"/>
  <c r="W270" i="4"/>
  <c r="W271" i="4"/>
  <c r="W272" i="4"/>
  <c r="W273" i="4"/>
  <c r="V273" i="4" s="1"/>
  <c r="W274" i="4"/>
  <c r="W275" i="4"/>
  <c r="W276" i="4"/>
  <c r="W277" i="4"/>
  <c r="V277" i="4" s="1"/>
  <c r="W278" i="4"/>
  <c r="W279" i="4"/>
  <c r="W280" i="4"/>
  <c r="W281" i="4"/>
  <c r="V281" i="4" s="1"/>
  <c r="W282" i="4"/>
  <c r="W283" i="4"/>
  <c r="W284" i="4"/>
  <c r="W285" i="4"/>
  <c r="V285" i="4" s="1"/>
  <c r="W286" i="4"/>
  <c r="W287" i="4"/>
  <c r="W288" i="4"/>
  <c r="W289" i="4"/>
  <c r="V289" i="4" s="1"/>
  <c r="W290" i="4"/>
  <c r="W291" i="4"/>
  <c r="W292" i="4"/>
  <c r="W293" i="4"/>
  <c r="V293" i="4" s="1"/>
  <c r="W294" i="4"/>
  <c r="W295" i="4"/>
  <c r="W296" i="4"/>
  <c r="W297" i="4"/>
  <c r="V297" i="4" s="1"/>
  <c r="W298" i="4"/>
  <c r="W299" i="4"/>
  <c r="W300" i="4"/>
  <c r="W301" i="4"/>
  <c r="V301" i="4" s="1"/>
  <c r="W302" i="4"/>
  <c r="W303" i="4"/>
  <c r="W304" i="4"/>
  <c r="W305" i="4"/>
  <c r="V305" i="4" s="1"/>
  <c r="W306" i="4"/>
  <c r="W307" i="4"/>
  <c r="W308" i="4"/>
  <c r="W309" i="4"/>
  <c r="V309" i="4" s="1"/>
  <c r="W310" i="4"/>
  <c r="W311" i="4"/>
  <c r="W312" i="4"/>
  <c r="W313" i="4"/>
  <c r="V313" i="4" s="1"/>
  <c r="W314" i="4"/>
  <c r="W315" i="4"/>
  <c r="W316" i="4"/>
  <c r="W317" i="4"/>
  <c r="V317" i="4" s="1"/>
  <c r="W318" i="4"/>
  <c r="W319" i="4"/>
  <c r="W320" i="4"/>
  <c r="W321" i="4"/>
  <c r="V321" i="4" s="1"/>
  <c r="W322" i="4"/>
  <c r="W323" i="4"/>
  <c r="W324" i="4"/>
  <c r="W325" i="4"/>
  <c r="V325" i="4" s="1"/>
  <c r="W326" i="4"/>
  <c r="W327" i="4"/>
  <c r="W328" i="4"/>
  <c r="W329" i="4"/>
  <c r="V329" i="4" s="1"/>
  <c r="W330" i="4"/>
  <c r="W331" i="4"/>
  <c r="W332" i="4"/>
  <c r="W333" i="4"/>
  <c r="V333" i="4" s="1"/>
  <c r="W334" i="4"/>
  <c r="W335" i="4"/>
  <c r="W336" i="4"/>
  <c r="W337" i="4"/>
  <c r="V337" i="4" s="1"/>
  <c r="W338" i="4"/>
  <c r="W339" i="4"/>
  <c r="W340" i="4"/>
  <c r="W341" i="4"/>
  <c r="V341" i="4" s="1"/>
  <c r="W342" i="4"/>
  <c r="V342" i="4" s="1"/>
  <c r="W343" i="4"/>
  <c r="W344" i="4"/>
  <c r="W345" i="4"/>
  <c r="V345" i="4" s="1"/>
  <c r="W346" i="4"/>
  <c r="V346" i="4" s="1"/>
  <c r="W347" i="4"/>
  <c r="W348" i="4"/>
  <c r="W349" i="4"/>
  <c r="V349" i="4" s="1"/>
  <c r="W350" i="4"/>
  <c r="V350" i="4" s="1"/>
  <c r="W351" i="4"/>
  <c r="W352" i="4"/>
  <c r="W353" i="4"/>
  <c r="V353" i="4" s="1"/>
  <c r="W354" i="4"/>
  <c r="V354" i="4" s="1"/>
  <c r="W355" i="4"/>
  <c r="W356" i="4"/>
  <c r="W357" i="4"/>
  <c r="V357" i="4" s="1"/>
  <c r="W358" i="4"/>
  <c r="V358" i="4" s="1"/>
  <c r="W359" i="4"/>
  <c r="W360" i="4"/>
  <c r="W361" i="4"/>
  <c r="V361" i="4" s="1"/>
  <c r="W362" i="4"/>
  <c r="V362" i="4" s="1"/>
  <c r="W363" i="4"/>
  <c r="W364" i="4"/>
  <c r="W365" i="4"/>
  <c r="V365" i="4" s="1"/>
  <c r="W366" i="4"/>
  <c r="V366" i="4" s="1"/>
  <c r="W367" i="4"/>
  <c r="W368" i="4"/>
  <c r="W369" i="4"/>
  <c r="V369" i="4" s="1"/>
  <c r="W370" i="4"/>
  <c r="V370" i="4" s="1"/>
  <c r="W371" i="4"/>
  <c r="W372" i="4"/>
  <c r="W373" i="4"/>
  <c r="V373" i="4" s="1"/>
  <c r="W374" i="4"/>
  <c r="V374" i="4" s="1"/>
  <c r="W375" i="4"/>
  <c r="W376" i="4"/>
  <c r="W377" i="4"/>
  <c r="V377" i="4" s="1"/>
  <c r="W378" i="4"/>
  <c r="V378" i="4" s="1"/>
  <c r="W379" i="4"/>
  <c r="W380" i="4"/>
  <c r="W381" i="4"/>
  <c r="V381" i="4" s="1"/>
  <c r="W382" i="4"/>
  <c r="V382" i="4" s="1"/>
  <c r="W383" i="4"/>
  <c r="W384" i="4"/>
  <c r="W385" i="4"/>
  <c r="V385" i="4" s="1"/>
  <c r="W386" i="4"/>
  <c r="V386" i="4" s="1"/>
  <c r="W387" i="4"/>
  <c r="W388" i="4"/>
  <c r="W389" i="4"/>
  <c r="V389" i="4" s="1"/>
  <c r="W390" i="4"/>
  <c r="V390" i="4" s="1"/>
  <c r="W391" i="4"/>
  <c r="W392" i="4"/>
  <c r="W393" i="4"/>
  <c r="V393" i="4" s="1"/>
  <c r="W394" i="4"/>
  <c r="V394" i="4" s="1"/>
  <c r="W395" i="4"/>
  <c r="W396" i="4"/>
  <c r="W397" i="4"/>
  <c r="V397" i="4" s="1"/>
  <c r="W398" i="4"/>
  <c r="V398" i="4" s="1"/>
  <c r="W399" i="4"/>
  <c r="W400" i="4"/>
  <c r="W401" i="4"/>
  <c r="V401" i="4" s="1"/>
  <c r="W402" i="4"/>
  <c r="V402" i="4" s="1"/>
  <c r="W403" i="4"/>
  <c r="W404" i="4"/>
  <c r="W405" i="4"/>
  <c r="V405" i="4" s="1"/>
  <c r="W406" i="4"/>
  <c r="V406" i="4" s="1"/>
  <c r="W407" i="4"/>
  <c r="W408" i="4"/>
  <c r="W409" i="4"/>
  <c r="V409" i="4" s="1"/>
  <c r="W410" i="4"/>
  <c r="V410" i="4" s="1"/>
  <c r="W411" i="4"/>
  <c r="W412" i="4"/>
  <c r="W413" i="4"/>
  <c r="V413" i="4" s="1"/>
  <c r="W414" i="4"/>
  <c r="V414" i="4" s="1"/>
  <c r="W415" i="4"/>
  <c r="W416" i="4"/>
  <c r="W417" i="4"/>
  <c r="V417" i="4" s="1"/>
  <c r="W418" i="4"/>
  <c r="V418" i="4" s="1"/>
  <c r="W419" i="4"/>
  <c r="W420" i="4"/>
  <c r="W421" i="4"/>
  <c r="V421" i="4" s="1"/>
  <c r="W422" i="4"/>
  <c r="V422" i="4" s="1"/>
  <c r="W423" i="4"/>
  <c r="W424" i="4"/>
  <c r="W425" i="4"/>
  <c r="V425" i="4" s="1"/>
  <c r="W426" i="4"/>
  <c r="V426" i="4" s="1"/>
  <c r="W427" i="4"/>
  <c r="W428" i="4"/>
  <c r="W429" i="4"/>
  <c r="V429" i="4" s="1"/>
  <c r="W430" i="4"/>
  <c r="V430" i="4" s="1"/>
  <c r="W431" i="4"/>
  <c r="W432" i="4"/>
  <c r="W433" i="4"/>
  <c r="V433" i="4" s="1"/>
  <c r="W434" i="4"/>
  <c r="V434" i="4" s="1"/>
  <c r="W435" i="4"/>
  <c r="W436" i="4"/>
  <c r="W437" i="4"/>
  <c r="V437" i="4" s="1"/>
  <c r="W438" i="4"/>
  <c r="V438" i="4" s="1"/>
  <c r="W439" i="4"/>
  <c r="W440" i="4"/>
  <c r="W441" i="4"/>
  <c r="V441" i="4" s="1"/>
  <c r="W442" i="4"/>
  <c r="V442" i="4" s="1"/>
  <c r="W443" i="4"/>
  <c r="W444" i="4"/>
  <c r="W445" i="4"/>
  <c r="V445" i="4" s="1"/>
  <c r="W446" i="4"/>
  <c r="V446" i="4" s="1"/>
  <c r="W447" i="4"/>
  <c r="W448" i="4"/>
  <c r="W449" i="4"/>
  <c r="V449" i="4" s="1"/>
  <c r="W450" i="4"/>
  <c r="V450" i="4" s="1"/>
  <c r="W451" i="4"/>
  <c r="W452" i="4"/>
  <c r="W453" i="4"/>
  <c r="V453" i="4" s="1"/>
  <c r="W454" i="4"/>
  <c r="V454" i="4" s="1"/>
  <c r="W455" i="4"/>
  <c r="W456" i="4"/>
  <c r="W457" i="4"/>
  <c r="V457" i="4" s="1"/>
  <c r="W458" i="4"/>
  <c r="V458" i="4" s="1"/>
  <c r="W459" i="4"/>
  <c r="W460" i="4"/>
  <c r="W461" i="4"/>
  <c r="V461" i="4" s="1"/>
  <c r="W462" i="4"/>
  <c r="V462" i="4" s="1"/>
  <c r="W463" i="4"/>
  <c r="W464" i="4"/>
  <c r="W465" i="4"/>
  <c r="V465" i="4" s="1"/>
  <c r="W466" i="4"/>
  <c r="V466" i="4" s="1"/>
  <c r="W467" i="4"/>
  <c r="W468" i="4"/>
  <c r="W469" i="4"/>
  <c r="V469" i="4" s="1"/>
  <c r="W470" i="4"/>
  <c r="V470" i="4" s="1"/>
  <c r="W471" i="4"/>
  <c r="W472" i="4"/>
  <c r="W473" i="4"/>
  <c r="V473" i="4" s="1"/>
  <c r="W474" i="4"/>
  <c r="V474" i="4" s="1"/>
  <c r="W475" i="4"/>
  <c r="W476" i="4"/>
  <c r="W2" i="4"/>
  <c r="V2" i="4" s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2" i="4"/>
  <c r="V435" i="4" l="1"/>
  <c r="V149" i="4"/>
  <c r="V145" i="4"/>
  <c r="V141" i="4"/>
  <c r="V137" i="4"/>
  <c r="V133" i="4"/>
  <c r="V129" i="4"/>
  <c r="V125" i="4"/>
  <c r="V121" i="4"/>
  <c r="V117" i="4"/>
  <c r="V113" i="4"/>
  <c r="V109" i="4"/>
  <c r="V105" i="4"/>
  <c r="V101" i="4"/>
  <c r="V97" i="4"/>
  <c r="V93" i="4"/>
  <c r="V89" i="4"/>
  <c r="V85" i="4"/>
  <c r="V81" i="4"/>
  <c r="V77" i="4"/>
  <c r="V73" i="4"/>
  <c r="V69" i="4"/>
  <c r="V65" i="4"/>
  <c r="V61" i="4"/>
  <c r="V57" i="4"/>
  <c r="V53" i="4"/>
  <c r="V49" i="4"/>
  <c r="V45" i="4"/>
  <c r="V41" i="4"/>
  <c r="V37" i="4"/>
  <c r="V33" i="4"/>
  <c r="V29" i="4"/>
  <c r="V25" i="4"/>
  <c r="V21" i="4"/>
  <c r="V17" i="4"/>
  <c r="V13" i="4"/>
  <c r="V9" i="4"/>
  <c r="V5" i="4"/>
  <c r="V476" i="4"/>
  <c r="V472" i="4"/>
  <c r="V468" i="4"/>
  <c r="V464" i="4"/>
  <c r="V460" i="4"/>
  <c r="V456" i="4"/>
  <c r="V452" i="4"/>
  <c r="V448" i="4"/>
  <c r="V444" i="4"/>
  <c r="V440" i="4"/>
  <c r="V436" i="4"/>
  <c r="V432" i="4"/>
  <c r="V428" i="4"/>
  <c r="V424" i="4"/>
  <c r="V420" i="4"/>
  <c r="V416" i="4"/>
  <c r="V412" i="4"/>
  <c r="V408" i="4"/>
  <c r="V404" i="4"/>
  <c r="V400" i="4"/>
  <c r="V396" i="4"/>
  <c r="V392" i="4"/>
  <c r="V388" i="4"/>
  <c r="V384" i="4"/>
  <c r="V380" i="4"/>
  <c r="V376" i="4"/>
  <c r="V372" i="4"/>
  <c r="V368" i="4"/>
  <c r="V364" i="4"/>
  <c r="V360" i="4"/>
  <c r="V356" i="4"/>
  <c r="V352" i="4"/>
  <c r="V348" i="4"/>
  <c r="V344" i="4"/>
  <c r="V340" i="4"/>
  <c r="V336" i="4"/>
  <c r="V332" i="4"/>
  <c r="V328" i="4"/>
  <c r="V324" i="4"/>
  <c r="V320" i="4"/>
  <c r="V316" i="4"/>
  <c r="V312" i="4"/>
  <c r="V308" i="4"/>
  <c r="V475" i="4"/>
  <c r="V471" i="4"/>
  <c r="V467" i="4"/>
  <c r="V463" i="4"/>
  <c r="V459" i="4"/>
  <c r="V455" i="4"/>
  <c r="V451" i="4"/>
  <c r="V447" i="4"/>
  <c r="V443" i="4"/>
  <c r="V439" i="4"/>
  <c r="V431" i="4"/>
  <c r="V427" i="4"/>
  <c r="V423" i="4"/>
  <c r="V419" i="4"/>
  <c r="V415" i="4"/>
  <c r="V411" i="4"/>
  <c r="V407" i="4"/>
  <c r="V403" i="4"/>
  <c r="V399" i="4"/>
  <c r="V395" i="4"/>
  <c r="V391" i="4"/>
  <c r="V387" i="4"/>
  <c r="V383" i="4"/>
  <c r="V379" i="4"/>
  <c r="V375" i="4"/>
  <c r="V371" i="4"/>
  <c r="V367" i="4"/>
  <c r="V363" i="4"/>
  <c r="V359" i="4"/>
  <c r="V355" i="4"/>
  <c r="V351" i="4"/>
  <c r="V347" i="4"/>
  <c r="V343" i="4"/>
  <c r="V339" i="4"/>
  <c r="V335" i="4"/>
  <c r="V331" i="4"/>
  <c r="V327" i="4"/>
  <c r="V323" i="4"/>
  <c r="V319" i="4"/>
  <c r="V315" i="4"/>
  <c r="V311" i="4"/>
  <c r="V307" i="4"/>
  <c r="V303" i="4"/>
  <c r="V299" i="4"/>
  <c r="V295" i="4"/>
  <c r="V291" i="4"/>
  <c r="V287" i="4"/>
  <c r="V283" i="4"/>
  <c r="V279" i="4"/>
  <c r="V275" i="4"/>
  <c r="V271" i="4"/>
  <c r="V267" i="4"/>
  <c r="V263" i="4"/>
  <c r="V259" i="4"/>
  <c r="V255" i="4"/>
  <c r="V251" i="4"/>
  <c r="V247" i="4"/>
  <c r="V243" i="4"/>
  <c r="V239" i="4"/>
  <c r="V235" i="4"/>
  <c r="V231" i="4"/>
  <c r="V227" i="4"/>
  <c r="V223" i="4"/>
  <c r="V304" i="4"/>
  <c r="V300" i="4"/>
  <c r="V296" i="4"/>
  <c r="V292" i="4"/>
  <c r="V288" i="4"/>
  <c r="V284" i="4"/>
  <c r="V280" i="4"/>
  <c r="V276" i="4"/>
  <c r="V272" i="4"/>
  <c r="V268" i="4"/>
  <c r="V264" i="4"/>
  <c r="V260" i="4"/>
  <c r="V256" i="4"/>
  <c r="V252" i="4"/>
  <c r="V248" i="4"/>
  <c r="V244" i="4"/>
  <c r="V240" i="4"/>
  <c r="V236" i="4"/>
  <c r="V232" i="4"/>
  <c r="V228" i="4"/>
  <c r="V224" i="4"/>
  <c r="V220" i="4"/>
  <c r="V216" i="4"/>
  <c r="V212" i="4"/>
  <c r="V208" i="4"/>
  <c r="V204" i="4"/>
  <c r="V200" i="4"/>
  <c r="V196" i="4"/>
  <c r="V192" i="4"/>
  <c r="V188" i="4"/>
  <c r="V184" i="4"/>
  <c r="V180" i="4"/>
  <c r="V176" i="4"/>
  <c r="V172" i="4"/>
  <c r="V168" i="4"/>
  <c r="V164" i="4"/>
  <c r="V160" i="4"/>
  <c r="V156" i="4"/>
  <c r="V152" i="4"/>
  <c r="V148" i="4"/>
  <c r="V144" i="4"/>
  <c r="V140" i="4"/>
  <c r="V136" i="4"/>
  <c r="V132" i="4"/>
  <c r="V128" i="4"/>
  <c r="V124" i="4"/>
  <c r="V120" i="4"/>
  <c r="V116" i="4"/>
  <c r="V112" i="4"/>
  <c r="V108" i="4"/>
  <c r="V104" i="4"/>
  <c r="V100" i="4"/>
  <c r="V96" i="4"/>
  <c r="V92" i="4"/>
  <c r="V88" i="4"/>
  <c r="V84" i="4"/>
  <c r="V80" i="4"/>
  <c r="V76" i="4"/>
  <c r="V72" i="4"/>
  <c r="V68" i="4"/>
  <c r="V64" i="4"/>
  <c r="V60" i="4"/>
  <c r="V56" i="4"/>
  <c r="V52" i="4"/>
  <c r="V48" i="4"/>
  <c r="V44" i="4"/>
  <c r="V40" i="4"/>
  <c r="V36" i="4"/>
  <c r="V32" i="4"/>
  <c r="V28" i="4"/>
  <c r="V24" i="4"/>
  <c r="V20" i="4"/>
  <c r="V16" i="4"/>
  <c r="V12" i="4"/>
  <c r="V8" i="4"/>
  <c r="V4" i="4"/>
  <c r="V219" i="4"/>
  <c r="V215" i="4"/>
  <c r="V211" i="4"/>
  <c r="V207" i="4"/>
  <c r="V203" i="4"/>
  <c r="V199" i="4"/>
  <c r="V195" i="4"/>
  <c r="V191" i="4"/>
  <c r="V187" i="4"/>
  <c r="V183" i="4"/>
  <c r="V179" i="4"/>
  <c r="V175" i="4"/>
  <c r="V171" i="4"/>
  <c r="V167" i="4"/>
  <c r="V163" i="4"/>
  <c r="V159" i="4"/>
  <c r="V155" i="4"/>
  <c r="V151" i="4"/>
  <c r="V147" i="4"/>
  <c r="V143" i="4"/>
  <c r="V139" i="4"/>
  <c r="V135" i="4"/>
  <c r="V131" i="4"/>
  <c r="V127" i="4"/>
  <c r="V123" i="4"/>
  <c r="V119" i="4"/>
  <c r="V115" i="4"/>
  <c r="V111" i="4"/>
  <c r="V107" i="4"/>
  <c r="V103" i="4"/>
  <c r="V99" i="4"/>
  <c r="V95" i="4"/>
  <c r="V91" i="4"/>
  <c r="V87" i="4"/>
  <c r="V83" i="4"/>
  <c r="V79" i="4"/>
  <c r="V75" i="4"/>
  <c r="V71" i="4"/>
  <c r="V67" i="4"/>
  <c r="V63" i="4"/>
  <c r="V59" i="4"/>
  <c r="V55" i="4"/>
  <c r="V51" i="4"/>
  <c r="V47" i="4"/>
  <c r="V43" i="4"/>
  <c r="V39" i="4"/>
  <c r="V35" i="4"/>
  <c r="V31" i="4"/>
  <c r="V27" i="4"/>
  <c r="V23" i="4"/>
  <c r="V19" i="4"/>
  <c r="V15" i="4"/>
  <c r="V11" i="4"/>
  <c r="V7" i="4"/>
  <c r="V3" i="4"/>
  <c r="V338" i="4"/>
  <c r="V334" i="4"/>
  <c r="V330" i="4"/>
  <c r="V326" i="4"/>
  <c r="V322" i="4"/>
  <c r="V318" i="4"/>
  <c r="V314" i="4"/>
  <c r="V310" i="4"/>
  <c r="V306" i="4"/>
  <c r="V302" i="4"/>
  <c r="V298" i="4"/>
  <c r="V294" i="4"/>
  <c r="V290" i="4"/>
  <c r="V286" i="4"/>
  <c r="V282" i="4"/>
  <c r="V278" i="4"/>
  <c r="V274" i="4"/>
  <c r="V270" i="4"/>
  <c r="V266" i="4"/>
  <c r="V262" i="4"/>
  <c r="V258" i="4"/>
  <c r="V254" i="4"/>
  <c r="V250" i="4"/>
  <c r="V246" i="4"/>
  <c r="V242" i="4"/>
  <c r="V238" i="4"/>
  <c r="V234" i="4"/>
  <c r="V230" i="4"/>
  <c r="V226" i="4"/>
  <c r="V222" i="4"/>
  <c r="V218" i="4"/>
  <c r="V214" i="4"/>
  <c r="V210" i="4"/>
  <c r="V206" i="4"/>
  <c r="V202" i="4"/>
  <c r="V198" i="4"/>
  <c r="V194" i="4"/>
  <c r="V190" i="4"/>
  <c r="V186" i="4"/>
  <c r="V182" i="4"/>
  <c r="V178" i="4"/>
  <c r="V174" i="4"/>
  <c r="V170" i="4"/>
  <c r="V166" i="4"/>
  <c r="V162" i="4"/>
  <c r="V158" i="4"/>
  <c r="V154" i="4"/>
  <c r="V150" i="4"/>
  <c r="V146" i="4"/>
  <c r="V142" i="4"/>
  <c r="V138" i="4"/>
  <c r="V134" i="4"/>
  <c r="V130" i="4"/>
  <c r="V126" i="4"/>
  <c r="V122" i="4"/>
  <c r="V118" i="4"/>
  <c r="V114" i="4"/>
  <c r="V110" i="4"/>
  <c r="V106" i="4"/>
  <c r="V102" i="4"/>
  <c r="V98" i="4"/>
  <c r="V94" i="4"/>
  <c r="V90" i="4"/>
  <c r="V86" i="4"/>
  <c r="V82" i="4"/>
  <c r="V78" i="4"/>
  <c r="V74" i="4"/>
  <c r="V70" i="4"/>
  <c r="V66" i="4"/>
  <c r="V62" i="4"/>
  <c r="V58" i="4"/>
  <c r="V54" i="4"/>
  <c r="V50" i="4"/>
  <c r="V46" i="4"/>
  <c r="V42" i="4"/>
  <c r="V38" i="4"/>
  <c r="V34" i="4"/>
  <c r="V30" i="4"/>
  <c r="V26" i="4"/>
  <c r="V22" i="4"/>
  <c r="V18" i="4"/>
  <c r="V14" i="4"/>
  <c r="V10" i="4"/>
  <c r="V6" i="4"/>
</calcChain>
</file>

<file path=xl/sharedStrings.xml><?xml version="1.0" encoding="utf-8"?>
<sst xmlns="http://schemas.openxmlformats.org/spreadsheetml/2006/main" count="9137" uniqueCount="1808">
  <si>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</si>
  <si>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</si>
  <si>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</si>
  <si>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</si>
  <si>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</si>
  <si>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</si>
  <si>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</si>
  <si>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</si>
  <si>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</si>
  <si>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</si>
  <si>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</si>
  <si>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</si>
  <si>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</si>
  <si>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</si>
  <si>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</si>
  <si>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</si>
  <si>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</si>
  <si>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</si>
  <si>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</si>
  <si>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</si>
  <si>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</si>
  <si>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</si>
  <si>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</si>
  <si>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</si>
  <si>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</si>
  <si>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</si>
  <si>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</si>
  <si>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</si>
  <si>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</si>
  <si>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</si>
  <si>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</si>
  <si>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</si>
  <si>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</si>
  <si>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</si>
  <si>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</si>
  <si>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</si>
  <si>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</si>
  <si>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</si>
  <si>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</si>
  <si>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</si>
  <si>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</si>
  <si>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</si>
  <si>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</si>
  <si>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</si>
  <si>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</si>
  <si>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</si>
  <si>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</si>
  <si>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</si>
  <si>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</si>
  <si>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</si>
  <si>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</si>
  <si>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</si>
  <si>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</si>
  <si>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</si>
  <si>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</si>
  <si>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</si>
  <si>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</si>
  <si>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</si>
  <si>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</si>
  <si>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</si>
  <si>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</si>
  <si>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</si>
  <si>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</si>
  <si>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</si>
  <si>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</si>
  <si>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</si>
  <si>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</si>
  <si>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</si>
  <si>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</si>
  <si>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</si>
  <si>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</si>
  <si>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</si>
  <si>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</si>
  <si>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</si>
  <si>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</si>
  <si>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</si>
  <si>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</si>
  <si>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</si>
  <si>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</si>
  <si>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</si>
  <si>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</si>
  <si>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</si>
  <si>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</si>
  <si>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</si>
  <si>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</si>
  <si>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</si>
  <si>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</si>
  <si>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</si>
  <si>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</si>
  <si>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</si>
  <si>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</si>
  <si>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</si>
  <si>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</si>
  <si>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</si>
  <si>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</si>
  <si>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</si>
  <si>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</si>
  <si>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</si>
  <si>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</si>
  <si>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</si>
  <si>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</si>
  <si>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</si>
  <si>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</si>
  <si>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</si>
  <si>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</si>
  <si>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</si>
  <si>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</si>
  <si>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</si>
  <si>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</si>
  <si>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</si>
  <si>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</si>
  <si>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</si>
  <si>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</si>
  <si>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</si>
  <si>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</si>
  <si>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</si>
  <si>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</si>
  <si>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</si>
  <si>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</si>
  <si>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</si>
  <si>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</si>
  <si>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</si>
  <si>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</si>
  <si>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</si>
  <si>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</si>
  <si>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</si>
  <si>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</si>
  <si>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</si>
  <si>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</si>
  <si>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</si>
  <si>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</si>
  <si>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</si>
  <si>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</si>
  <si>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</si>
  <si>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</si>
  <si>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</si>
  <si>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</si>
  <si>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</si>
  <si>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</si>
  <si>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</si>
  <si>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</si>
  <si>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</si>
  <si>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</si>
  <si>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</si>
  <si>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</si>
  <si>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</si>
  <si>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</si>
  <si>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</si>
  <si>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</si>
  <si>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</si>
  <si>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</si>
  <si>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</si>
  <si>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</si>
  <si>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</si>
  <si>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</si>
  <si>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</si>
  <si>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</si>
  <si>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</si>
  <si>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</si>
  <si>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</si>
  <si>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</si>
  <si>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</si>
  <si>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</si>
  <si>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</si>
  <si>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</si>
  <si>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</si>
  <si>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</si>
  <si>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</si>
  <si>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</si>
  <si>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</si>
  <si>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</si>
  <si>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</si>
  <si>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</si>
  <si>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</si>
  <si>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</si>
  <si>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</si>
  <si>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</si>
  <si>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</si>
  <si>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</si>
  <si>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</si>
  <si>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</si>
  <si>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</si>
  <si>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</si>
  <si>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</si>
  <si>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</si>
  <si>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</si>
  <si>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</si>
  <si>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</si>
  <si>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</si>
  <si>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</si>
  <si>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</si>
  <si>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</si>
  <si>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</si>
  <si>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</si>
  <si>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</si>
  <si>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</si>
  <si>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</si>
  <si>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</si>
  <si>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</si>
  <si>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</si>
  <si>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</si>
  <si>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</si>
  <si>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</si>
  <si>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</si>
  <si>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</si>
  <si>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</si>
  <si>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</si>
  <si>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</si>
  <si>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</si>
  <si>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</si>
  <si>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</si>
  <si>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</si>
  <si>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</si>
  <si>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</si>
  <si>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</si>
  <si>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</si>
  <si>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</si>
  <si>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</si>
  <si>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</si>
  <si>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</si>
  <si>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</si>
  <si>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</si>
  <si>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</si>
  <si>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</si>
  <si>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</si>
  <si>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</si>
  <si>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</si>
  <si>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</si>
  <si>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</si>
  <si>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</si>
  <si>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</si>
  <si>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</si>
  <si>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</si>
  <si>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</si>
  <si>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</si>
  <si>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</si>
  <si>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</si>
  <si>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</si>
  <si>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</si>
  <si>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</si>
  <si>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</si>
  <si>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</si>
  <si>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</si>
  <si>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</si>
  <si>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</si>
  <si>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</si>
  <si>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</si>
  <si>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</si>
  <si>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</si>
  <si>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</si>
  <si>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</si>
  <si>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</si>
  <si>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</si>
  <si>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</si>
  <si>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</si>
  <si>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</si>
  <si>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</si>
  <si>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</si>
  <si>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</si>
  <si>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</si>
  <si>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</si>
  <si>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</si>
  <si>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</si>
  <si>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</si>
  <si>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</si>
  <si>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</si>
  <si>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</si>
  <si>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</si>
  <si>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</si>
  <si>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</si>
  <si>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</si>
  <si>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</si>
  <si>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</si>
  <si>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</si>
  <si>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</si>
  <si>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</si>
  <si>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</si>
  <si>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</si>
  <si>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</si>
  <si>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</si>
  <si>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</si>
  <si>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</si>
  <si>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</si>
  <si>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</si>
  <si>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</si>
  <si>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</si>
  <si>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</si>
  <si>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</si>
  <si>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</si>
  <si>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</si>
  <si>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</si>
  <si>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</si>
  <si>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</si>
  <si>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</si>
  <si>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</si>
  <si>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</si>
  <si>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</si>
  <si>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</si>
  <si>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</si>
  <si>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</si>
  <si>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</si>
  <si>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</si>
  <si>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</si>
  <si>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</si>
  <si>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</si>
  <si>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</si>
  <si>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</si>
  <si>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</si>
  <si>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</si>
  <si>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</si>
  <si>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</si>
  <si>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</si>
  <si>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</si>
  <si>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</si>
  <si>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</si>
  <si>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</si>
  <si>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</si>
  <si>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</si>
  <si>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</si>
  <si>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</si>
  <si>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</si>
  <si>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</si>
  <si>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</si>
  <si>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</si>
  <si>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</si>
  <si>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</si>
  <si>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</si>
  <si>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</si>
  <si>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</si>
  <si>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</si>
  <si>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</si>
  <si>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</si>
  <si>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</si>
  <si>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</si>
  <si>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</si>
  <si>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</si>
  <si>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</si>
  <si>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</si>
  <si>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</si>
  <si>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</si>
  <si>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</si>
  <si>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</si>
  <si>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</si>
  <si>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</si>
  <si>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</si>
  <si>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</si>
  <si>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</si>
  <si>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</si>
  <si>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</si>
  <si>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</si>
  <si>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</si>
  <si>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</si>
  <si>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</si>
  <si>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</si>
  <si>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</si>
  <si>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</si>
  <si>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</si>
  <si>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</si>
  <si>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</si>
  <si>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</si>
  <si>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</si>
  <si>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</si>
  <si>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</si>
  <si>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</si>
  <si>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</si>
  <si>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</si>
  <si>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</si>
  <si>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</si>
  <si>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</si>
  <si>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</si>
  <si>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</si>
  <si>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</si>
  <si>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</si>
  <si>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</si>
  <si>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</si>
  <si>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</si>
  <si>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</si>
  <si>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</si>
  <si>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</si>
  <si>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</si>
  <si>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</si>
  <si>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</si>
  <si>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</si>
  <si>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</si>
  <si>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</si>
  <si>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</si>
  <si>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</si>
  <si>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</si>
  <si>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</si>
  <si>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</si>
  <si>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</si>
  <si>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</si>
  <si>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</si>
  <si>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</si>
  <si>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</si>
  <si>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</si>
  <si>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</si>
  <si>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</si>
  <si>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</si>
  <si>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</si>
  <si>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</si>
  <si>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</si>
  <si>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</si>
  <si>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</si>
  <si>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</si>
  <si>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</si>
  <si>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</si>
  <si>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</si>
  <si>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</si>
  <si>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</si>
  <si>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</si>
  <si>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</si>
  <si>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</si>
  <si>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</si>
  <si>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</si>
  <si>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</si>
  <si>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</si>
  <si>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</si>
  <si>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</si>
  <si>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</si>
  <si>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</si>
  <si>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</si>
  <si>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</si>
  <si>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</si>
  <si>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</si>
  <si>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</si>
  <si>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</si>
  <si>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</si>
  <si>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</si>
  <si>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</si>
  <si>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</si>
  <si>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</si>
  <si>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</si>
  <si>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</si>
  <si>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</si>
  <si>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</si>
  <si>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</si>
  <si>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</si>
  <si>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</si>
  <si>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</si>
  <si>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</si>
  <si>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</si>
  <si>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</si>
  <si>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</si>
  <si>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</si>
  <si>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</si>
  <si>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</si>
  <si>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</si>
  <si>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</si>
  <si>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</si>
  <si>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</si>
  <si>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</si>
  <si>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</si>
  <si>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</si>
  <si>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</si>
  <si>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</si>
  <si>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</si>
  <si>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</si>
  <si>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</si>
  <si>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</si>
  <si>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</si>
  <si>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</si>
  <si>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</si>
  <si>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</si>
  <si>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</si>
  <si>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</si>
  <si>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</si>
  <si>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</si>
  <si>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</si>
  <si>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</si>
  <si>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</si>
  <si>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</si>
  <si>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</si>
  <si>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</si>
  <si>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</si>
  <si>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</si>
  <si>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</si>
  <si>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</si>
  <si>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</si>
  <si>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</si>
  <si>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</si>
  <si>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</si>
  <si>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</si>
  <si>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</si>
  <si>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</si>
  <si>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</si>
  <si>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</si>
  <si>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</si>
  <si>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</si>
  <si>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</si>
  <si>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</si>
  <si>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</si>
  <si>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</si>
  <si>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</si>
  <si>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</si>
  <si>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</si>
  <si>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</si>
  <si>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</si>
  <si>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</si>
  <si>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</si>
  <si>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</si>
  <si>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</si>
  <si>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</si>
  <si>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</si>
  <si>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</si>
  <si>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</si>
  <si>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</si>
  <si>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</si>
  <si>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</si>
  <si>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</si>
  <si>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</si>
  <si>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</si>
  <si>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</si>
  <si>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</si>
  <si>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</si>
  <si>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</si>
  <si>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</si>
  <si>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</si>
  <si>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</si>
  <si>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</si>
  <si>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</si>
  <si>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</si>
  <si>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</si>
  <si>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</si>
  <si>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</si>
  <si>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</si>
  <si>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</si>
  <si>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</si>
  <si>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</si>
  <si>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</si>
  <si>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</si>
  <si>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</si>
  <si>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</si>
  <si>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</si>
  <si>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</si>
  <si>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</si>
  <si>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</si>
  <si>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</si>
  <si>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</si>
  <si>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</si>
  <si>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</si>
  <si>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</si>
  <si>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</si>
  <si>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</si>
  <si>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</si>
  <si>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</si>
  <si>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</si>
  <si>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</si>
  <si>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</si>
  <si>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</si>
  <si>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</si>
  <si>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</si>
  <si>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</si>
  <si>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</si>
  <si>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</si>
  <si>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</si>
  <si>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</si>
  <si>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</si>
  <si>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</si>
  <si>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</si>
  <si>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</si>
  <si>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</si>
  <si>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</si>
  <si>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</si>
  <si>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</si>
  <si>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</si>
  <si>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</si>
  <si>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</si>
  <si>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</si>
  <si>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</si>
  <si>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</si>
  <si>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</si>
  <si>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</si>
  <si>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</si>
  <si>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</si>
  <si>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</si>
  <si>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</si>
  <si>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</si>
  <si>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</si>
  <si>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</si>
  <si>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</si>
  <si>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</si>
  <si>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</si>
  <si>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</si>
  <si>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</si>
  <si>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</si>
  <si>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</si>
  <si>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</si>
  <si>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</si>
  <si>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</si>
  <si>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</si>
  <si>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</si>
  <si>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</si>
  <si>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</si>
  <si>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</si>
  <si>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</si>
  <si>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</si>
  <si>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</si>
  <si>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</si>
  <si>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</si>
  <si>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</si>
  <si>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</si>
  <si>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</si>
  <si>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</si>
  <si>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</si>
  <si>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</si>
  <si>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</si>
  <si>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</si>
  <si>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</si>
  <si>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</si>
  <si>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</si>
  <si>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</si>
  <si>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</si>
  <si>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</si>
  <si>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</si>
  <si>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</si>
  <si>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</si>
  <si>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</si>
  <si>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</si>
  <si>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</si>
  <si>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</si>
  <si>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</si>
  <si>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</si>
  <si>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</si>
  <si>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</si>
  <si>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</si>
  <si>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</si>
  <si>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</si>
  <si>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</si>
  <si>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</si>
  <si>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</si>
  <si>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</si>
  <si>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</si>
  <si>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</si>
  <si>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</si>
  <si>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</si>
  <si>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</si>
  <si>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</si>
  <si>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</si>
  <si>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</si>
  <si>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</si>
  <si>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</si>
  <si>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</si>
  <si>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</si>
  <si>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</si>
  <si>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</si>
  <si>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</si>
  <si>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</si>
  <si>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</si>
  <si>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</si>
  <si>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</si>
  <si>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</si>
  <si>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</si>
  <si>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</si>
  <si>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</si>
  <si>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</si>
  <si>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</si>
  <si>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</si>
  <si>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</si>
  <si>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</si>
  <si>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</si>
  <si>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</si>
  <si>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</si>
  <si>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</si>
  <si>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</si>
  <si>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</si>
  <si>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</si>
  <si>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</si>
  <si>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</si>
  <si>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</si>
  <si>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</si>
  <si>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</si>
  <si>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</si>
  <si>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</si>
  <si>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</si>
  <si>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</si>
  <si>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</si>
  <si>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</si>
  <si>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</si>
  <si>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</si>
  <si>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</si>
  <si>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</si>
  <si>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</si>
  <si>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</si>
  <si>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</si>
  <si>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</si>
  <si>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</si>
  <si>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</si>
  <si>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</si>
  <si>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</si>
  <si>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</si>
  <si>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</si>
  <si>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</si>
  <si>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</si>
  <si>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</si>
  <si>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</si>
  <si>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</si>
  <si>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</si>
  <si>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</si>
  <si>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</si>
  <si>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</si>
  <si>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</si>
  <si>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</si>
  <si>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</si>
  <si>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</si>
  <si>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</si>
  <si>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</si>
  <si>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</si>
  <si>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</si>
  <si>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</si>
  <si>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</si>
  <si>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</si>
  <si>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</si>
  <si>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</si>
  <si>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</si>
  <si>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</si>
  <si>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</si>
  <si>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</si>
  <si>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</si>
  <si>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</si>
  <si>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</si>
  <si>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</si>
  <si>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</si>
  <si>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</si>
  <si>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</si>
  <si>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</si>
  <si>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</si>
  <si>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</si>
  <si>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</si>
  <si>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</si>
  <si>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</si>
  <si>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</si>
  <si>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</si>
  <si>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</si>
  <si>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</si>
  <si>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</si>
  <si>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</si>
  <si>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</si>
  <si>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</si>
  <si>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</si>
  <si>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</si>
  <si>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</si>
  <si>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</si>
  <si>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</si>
  <si>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</si>
  <si>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</si>
  <si>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</si>
  <si>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</si>
  <si>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</si>
  <si>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</si>
  <si>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</si>
  <si>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</si>
  <si>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</si>
  <si>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</si>
  <si>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</si>
  <si>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</si>
  <si>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</si>
  <si>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</si>
  <si>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</si>
  <si>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</si>
  <si>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</si>
  <si>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</si>
  <si>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</si>
  <si>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</si>
  <si>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</si>
  <si>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</si>
  <si>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</si>
  <si>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</si>
  <si>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</si>
  <si>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</si>
  <si>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</si>
  <si>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</si>
  <si>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</si>
  <si>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</si>
  <si>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</si>
  <si>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</si>
  <si>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</si>
  <si>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</si>
  <si>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</si>
  <si>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</si>
  <si>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</si>
  <si>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</si>
  <si>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</si>
  <si>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</si>
  <si>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</si>
  <si>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</si>
  <si>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</si>
  <si>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</si>
  <si>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</si>
  <si>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</si>
  <si>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</si>
  <si>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</si>
  <si>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</si>
  <si>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</si>
  <si>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</si>
  <si>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</si>
  <si>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</si>
  <si>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</si>
  <si>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</si>
  <si>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</si>
  <si>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</si>
  <si>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</si>
  <si>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</si>
  <si>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</si>
  <si>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</si>
  <si>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</si>
  <si>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</si>
  <si>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</si>
  <si>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</si>
  <si>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</si>
  <si>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</si>
  <si>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</si>
  <si>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</si>
  <si>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</si>
  <si>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</si>
  <si>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</si>
  <si>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</si>
  <si>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</si>
  <si>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</si>
  <si>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</si>
  <si>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</si>
  <si>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</si>
  <si>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</si>
  <si>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</si>
  <si>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</si>
  <si>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</si>
  <si>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</si>
  <si>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</si>
  <si>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</si>
  <si>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</si>
  <si>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</si>
  <si>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</si>
  <si>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</si>
  <si>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</si>
  <si>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</si>
  <si>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</si>
  <si>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</si>
  <si>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</si>
  <si>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</si>
  <si>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</si>
  <si>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</si>
  <si>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</si>
  <si>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</si>
  <si>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</si>
  <si>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</si>
  <si>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</si>
  <si>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</si>
  <si>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</si>
  <si>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</si>
  <si>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</si>
  <si>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</si>
  <si>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</si>
  <si>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</si>
  <si>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</si>
  <si>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</si>
  <si>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</si>
  <si>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</si>
  <si>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</si>
  <si>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</si>
  <si>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</si>
  <si>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</si>
  <si>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</si>
  <si>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</si>
  <si>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</si>
  <si>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</si>
  <si>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</si>
  <si>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</si>
  <si>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</si>
  <si>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</si>
  <si>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</si>
  <si>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</si>
  <si>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</si>
  <si>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</si>
  <si>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</si>
  <si>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</si>
  <si>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</si>
  <si>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</si>
  <si>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</si>
  <si>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</si>
  <si>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</si>
  <si>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</si>
  <si>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</si>
  <si>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</si>
  <si>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</si>
  <si>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</si>
  <si>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</si>
  <si>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</si>
  <si>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</si>
  <si>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</si>
  <si>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</si>
  <si>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</si>
  <si>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</si>
  <si>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</si>
  <si>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</si>
  <si>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</si>
  <si>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</si>
  <si>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</si>
  <si>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</si>
  <si>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</si>
  <si>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</si>
  <si>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</si>
  <si>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</si>
  <si>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</si>
  <si>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</si>
  <si>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</si>
  <si>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</si>
  <si>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</si>
  <si>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</si>
  <si>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</si>
  <si>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</si>
  <si>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</si>
  <si>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</si>
  <si>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</si>
  <si>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</si>
  <si>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</si>
  <si>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</si>
  <si>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</si>
  <si>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</si>
  <si>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</si>
  <si>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</si>
  <si>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</si>
  <si>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</si>
  <si>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</si>
  <si>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</si>
  <si>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</si>
  <si>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</si>
  <si>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</si>
  <si>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</si>
  <si>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</si>
  <si>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</si>
  <si>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</si>
  <si>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</si>
  <si>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</si>
  <si>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</si>
  <si>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</si>
  <si>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</si>
  <si>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</si>
  <si>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</si>
  <si>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</si>
  <si>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</si>
  <si>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</si>
  <si>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</si>
  <si>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</si>
  <si>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</si>
  <si>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</si>
  <si>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</si>
  <si>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</si>
  <si>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</si>
  <si>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</si>
  <si>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</si>
  <si>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</si>
  <si>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</si>
  <si>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</si>
  <si>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</si>
  <si>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</si>
  <si>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</si>
  <si>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</si>
  <si>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</si>
  <si>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</si>
  <si>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</si>
  <si>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</si>
  <si>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</si>
  <si>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</si>
  <si>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</si>
  <si>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</si>
  <si>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</si>
  <si>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</si>
  <si>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</si>
  <si>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</si>
  <si>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</si>
  <si>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</si>
  <si>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</si>
  <si>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</si>
  <si>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</si>
  <si>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</si>
  <si>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</si>
  <si>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</si>
  <si>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</si>
  <si>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</si>
  <si>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</si>
  <si>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</si>
  <si>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</si>
  <si>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</si>
  <si>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</si>
  <si>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</si>
  <si>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</si>
  <si>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</si>
  <si>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</si>
  <si>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</si>
  <si>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</si>
  <si>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</si>
  <si>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</si>
  <si>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</si>
  <si>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</si>
  <si>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</si>
  <si>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</si>
  <si>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</si>
  <si>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</si>
  <si>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</si>
  <si>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</si>
  <si>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</si>
  <si>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</si>
  <si>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</si>
  <si>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</si>
  <si>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</si>
  <si>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</si>
  <si>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</si>
  <si>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</si>
  <si>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</si>
  <si>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</si>
  <si>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</si>
  <si>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</si>
  <si>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</si>
  <si>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</si>
  <si>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</si>
  <si>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</si>
  <si>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</si>
  <si>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</si>
  <si>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</si>
  <si>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</si>
  <si>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</si>
  <si>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</si>
  <si>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</si>
  <si>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</si>
  <si>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</si>
  <si>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</si>
  <si>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</si>
  <si>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</si>
  <si>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</si>
  <si>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</si>
  <si>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</si>
  <si>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</si>
  <si>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</si>
  <si>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</si>
  <si>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</si>
  <si>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</si>
  <si>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</si>
  <si>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</si>
  <si>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</si>
  <si>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</si>
  <si>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</si>
  <si>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</si>
  <si>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</si>
  <si>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</si>
  <si>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</si>
  <si>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</si>
  <si>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</si>
  <si>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</si>
  <si>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</si>
  <si>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</si>
  <si>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</si>
  <si>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</si>
  <si>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</si>
  <si>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</si>
  <si>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</si>
  <si>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</si>
  <si>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</si>
  <si>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</si>
  <si>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</si>
  <si>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</si>
  <si>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</si>
  <si>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</si>
  <si>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</si>
  <si>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</si>
  <si>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</si>
  <si>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</si>
  <si>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</si>
  <si>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</si>
  <si>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</si>
  <si>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</si>
  <si>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</si>
  <si>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</si>
  <si>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</si>
  <si>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</si>
  <si>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</si>
  <si>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</si>
  <si>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</si>
  <si>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</si>
  <si>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</si>
  <si>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</si>
  <si>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</si>
  <si>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</si>
  <si>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</si>
  <si>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</si>
  <si>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</si>
  <si>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</si>
  <si>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</si>
  <si>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</si>
  <si>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</si>
  <si>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</si>
  <si>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</si>
  <si>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</si>
  <si>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</si>
  <si>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</si>
  <si>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</si>
  <si>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</si>
  <si>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</si>
  <si>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</si>
  <si>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</si>
  <si>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</si>
  <si>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</si>
  <si>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</si>
  <si>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</si>
  <si>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</si>
  <si>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</si>
  <si>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</si>
  <si>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</si>
  <si>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</si>
  <si>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</si>
  <si>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</si>
  <si>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</si>
  <si>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</si>
  <si>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</si>
  <si>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</si>
  <si>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</si>
  <si>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</si>
  <si>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</si>
  <si>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</si>
  <si>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</si>
  <si>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</si>
  <si>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</si>
  <si>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</si>
  <si>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</si>
  <si>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</si>
  <si>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</si>
  <si>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</si>
  <si>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</si>
  <si>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</si>
  <si>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</si>
  <si>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</si>
  <si>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</si>
  <si>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</si>
  <si>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</si>
  <si>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</si>
  <si>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</si>
  <si>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</si>
  <si>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</si>
  <si>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</si>
  <si>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</si>
  <si>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</si>
  <si>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</si>
  <si>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</si>
  <si>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</si>
  <si>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</si>
  <si>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</si>
  <si>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</si>
  <si>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</si>
  <si>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</si>
  <si>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</si>
  <si>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</si>
  <si>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</si>
  <si>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</si>
  <si>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</si>
  <si>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</si>
  <si>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</si>
  <si>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</si>
  <si>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</si>
  <si>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</si>
  <si>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</si>
  <si>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</si>
  <si>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</si>
  <si>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</si>
  <si>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</si>
  <si>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</si>
  <si>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</si>
  <si>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</si>
  <si>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</si>
  <si>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</si>
  <si>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</si>
  <si>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</si>
  <si>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</si>
  <si>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</si>
  <si>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</si>
  <si>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</si>
  <si>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</si>
  <si>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</si>
  <si>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</si>
  <si>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</si>
  <si>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</si>
  <si>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</si>
  <si>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</si>
  <si>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</si>
  <si>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</si>
  <si>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</si>
  <si>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</si>
  <si>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</si>
  <si>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</si>
  <si>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</si>
  <si>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</si>
  <si>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</si>
  <si>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</si>
  <si>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</si>
  <si>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</si>
  <si>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</si>
  <si>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</si>
  <si>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</si>
  <si>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</si>
  <si>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</si>
  <si>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</si>
  <si>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</si>
  <si>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</si>
  <si>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</si>
  <si>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</si>
  <si>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</si>
  <si>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</si>
  <si>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</si>
  <si>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</si>
  <si>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</si>
  <si>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</si>
  <si>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</si>
  <si>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</si>
  <si>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</si>
  <si>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</si>
  <si>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</si>
  <si>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</si>
  <si>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</si>
  <si>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</si>
  <si>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</si>
  <si>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</si>
  <si>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</si>
  <si>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</si>
  <si>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</si>
  <si>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</si>
  <si>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</si>
  <si>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</si>
  <si>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</si>
  <si>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</si>
  <si>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</si>
  <si>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</si>
  <si>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</si>
  <si>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</si>
  <si>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</si>
  <si>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</si>
  <si>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</si>
  <si>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</si>
  <si>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</si>
  <si>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</si>
  <si>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</si>
  <si>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</si>
  <si>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</si>
  <si>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</si>
  <si>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</si>
  <si>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</si>
  <si>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</si>
  <si>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</si>
  <si>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</si>
  <si>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</si>
  <si>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</si>
  <si>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</si>
  <si>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</si>
  <si>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</si>
  <si>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</si>
  <si>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</si>
  <si>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</si>
  <si>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</si>
  <si>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</si>
  <si>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</si>
  <si>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</si>
  <si>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</si>
  <si>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</si>
  <si>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</si>
  <si>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</si>
  <si>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</si>
  <si>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</si>
  <si>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</si>
  <si>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</si>
  <si>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</si>
  <si>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</si>
  <si>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</si>
  <si>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</si>
  <si>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</si>
  <si>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</si>
  <si>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</si>
  <si>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</si>
  <si>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</si>
  <si>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</si>
  <si>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</si>
  <si>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</si>
  <si>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</si>
  <si>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</si>
  <si>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</si>
  <si>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</si>
  <si>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</si>
  <si>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</si>
  <si>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</si>
  <si>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</si>
  <si>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</si>
  <si>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</si>
  <si>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</si>
  <si>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</si>
  <si>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</si>
  <si>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</si>
  <si>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</si>
  <si>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</si>
  <si>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</si>
  <si>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</si>
  <si>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</si>
  <si>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</si>
  <si>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</si>
  <si>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</si>
  <si>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</si>
  <si>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</si>
  <si>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</si>
  <si>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</si>
  <si>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</si>
  <si>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</si>
  <si>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</si>
  <si>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</si>
  <si>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</si>
  <si>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</si>
  <si>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</si>
  <si>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</si>
  <si>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</si>
  <si>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</si>
  <si>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</si>
  <si>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</si>
  <si>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</si>
  <si>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</si>
  <si>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</si>
  <si>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</si>
  <si>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</si>
  <si>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</si>
  <si>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</si>
  <si>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</si>
  <si>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</si>
  <si>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</si>
  <si>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</si>
  <si>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</si>
  <si>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</si>
  <si>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</si>
  <si>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</si>
  <si>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</si>
  <si>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</si>
  <si>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</si>
  <si>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</si>
  <si>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</si>
  <si>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</si>
  <si>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</si>
  <si>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</si>
  <si>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</si>
  <si>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</si>
  <si>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</si>
  <si>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</si>
  <si>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</si>
  <si>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</si>
  <si>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</si>
  <si>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</si>
  <si>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</si>
  <si>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</si>
  <si>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</si>
  <si>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</si>
  <si>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</si>
  <si>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</si>
  <si>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</si>
  <si>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</si>
  <si>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</si>
  <si>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</si>
  <si>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</si>
  <si>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</si>
  <si>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</si>
  <si>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</si>
  <si>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</si>
  <si>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</si>
  <si>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</si>
  <si>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</si>
  <si>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</si>
  <si>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</si>
  <si>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</si>
  <si>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</si>
  <si>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</si>
  <si>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</si>
  <si>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</si>
  <si>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</si>
  <si>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</si>
  <si>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</si>
  <si>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</si>
  <si>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</si>
  <si>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</si>
  <si>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</si>
  <si>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</si>
  <si>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</si>
  <si>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</si>
  <si>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</si>
  <si>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</si>
  <si>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</si>
  <si>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</si>
  <si>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</si>
  <si>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</si>
  <si>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</si>
  <si>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</si>
  <si>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</si>
  <si>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</si>
  <si>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</si>
  <si>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</si>
  <si>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</si>
  <si>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</si>
  <si>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</si>
  <si>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</si>
  <si>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</si>
  <si>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</si>
  <si>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</si>
  <si>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</si>
  <si>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</si>
  <si>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</si>
  <si>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</si>
  <si>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</si>
  <si>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</si>
  <si>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</si>
  <si>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</si>
  <si>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</si>
  <si>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</si>
  <si>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</si>
  <si>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</si>
  <si>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</si>
  <si>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</si>
  <si>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</si>
  <si>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</si>
  <si>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</si>
  <si>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</si>
  <si>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</si>
  <si>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</si>
  <si>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</si>
  <si>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</si>
  <si>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</si>
  <si>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</si>
  <si>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</si>
  <si>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</si>
  <si>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</si>
  <si>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</si>
  <si>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</si>
  <si>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</si>
  <si>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</si>
  <si>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</si>
  <si>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</si>
  <si>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</si>
  <si>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</si>
  <si>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</si>
  <si>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</si>
  <si>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</si>
  <si>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</si>
  <si>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</si>
  <si>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</si>
  <si>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</si>
  <si>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</si>
  <si>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</si>
  <si>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</si>
  <si>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</si>
  <si>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</si>
  <si>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</si>
  <si>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</si>
  <si>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</si>
  <si>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</si>
  <si>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</si>
  <si>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</si>
  <si>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</si>
  <si>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</si>
  <si>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</si>
  <si>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</si>
  <si>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</si>
  <si>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</si>
  <si>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</si>
  <si>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</si>
  <si>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</si>
  <si>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</si>
  <si>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</si>
  <si>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</si>
  <si>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</si>
  <si>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</si>
  <si>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</si>
  <si>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</si>
  <si>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</si>
  <si>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</si>
  <si>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</si>
  <si>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</si>
  <si>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</si>
  <si>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</si>
  <si>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</si>
  <si>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</si>
  <si>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</si>
  <si>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</si>
  <si>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</si>
  <si>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</si>
  <si>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</si>
  <si>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</si>
  <si>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</si>
  <si>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</si>
  <si>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</si>
  <si>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</si>
  <si>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</si>
  <si>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</si>
  <si>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</si>
  <si>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</si>
  <si>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</si>
  <si>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</si>
  <si>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</si>
  <si>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</si>
  <si>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</si>
  <si>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</si>
  <si>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</si>
  <si>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</si>
  <si>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</si>
  <si>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</si>
  <si>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</si>
  <si>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</si>
  <si>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</si>
  <si>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</si>
  <si>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</si>
  <si>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</si>
  <si>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</si>
  <si>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</si>
  <si>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</si>
  <si>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</si>
  <si>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</si>
  <si>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</si>
  <si>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</si>
  <si>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</si>
  <si>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</si>
  <si>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</si>
  <si>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</si>
  <si>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</si>
  <si>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</si>
  <si>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</si>
  <si>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</si>
  <si>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</si>
  <si>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</si>
  <si>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</si>
  <si>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</si>
  <si>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</si>
  <si>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</si>
  <si>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</si>
  <si>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</si>
  <si>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</si>
  <si>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</si>
  <si>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</si>
  <si>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</si>
  <si>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</si>
  <si>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</si>
  <si>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</si>
  <si>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</si>
  <si>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</si>
  <si>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</si>
  <si>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</si>
  <si>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</si>
  <si>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</si>
  <si>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</si>
  <si>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</si>
  <si>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</si>
  <si>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</si>
  <si>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</si>
  <si>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</si>
  <si>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</si>
  <si>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</si>
  <si>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</si>
  <si>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</si>
  <si>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</si>
  <si>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</si>
  <si>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</si>
  <si>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</si>
  <si>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</si>
  <si>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</si>
  <si>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</si>
  <si>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</si>
  <si>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</si>
  <si>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</si>
  <si>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</si>
  <si>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</si>
  <si>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</si>
  <si>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</si>
  <si>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</si>
  <si>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</si>
  <si>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</si>
  <si>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</si>
  <si>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</si>
  <si>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</si>
  <si>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</si>
  <si>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</si>
  <si>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</si>
  <si>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</si>
  <si>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</si>
  <si>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</si>
  <si>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</si>
  <si>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</si>
  <si>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</si>
  <si>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</si>
  <si>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</si>
  <si>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</si>
  <si>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</si>
  <si>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</si>
  <si>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</si>
  <si>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</si>
  <si>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</si>
  <si>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</si>
  <si>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</si>
  <si>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</si>
  <si>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</si>
  <si>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</si>
  <si>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</si>
  <si>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</si>
  <si>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</si>
  <si>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</si>
  <si>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</si>
  <si>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</si>
  <si>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</si>
  <si>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</si>
  <si>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</si>
  <si>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</si>
  <si>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</si>
  <si>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</si>
  <si>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</si>
  <si>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</si>
  <si>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</si>
  <si>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</si>
  <si>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</si>
  <si>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</si>
  <si>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</si>
  <si>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</si>
  <si>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</si>
  <si>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</si>
  <si>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</si>
  <si>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</si>
  <si>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</si>
  <si>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</si>
  <si>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</si>
  <si>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</si>
  <si>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</si>
  <si>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</si>
  <si>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</si>
  <si>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</si>
  <si>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</si>
  <si>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</si>
  <si>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</si>
  <si>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</si>
  <si>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</si>
  <si>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</si>
  <si>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</si>
  <si>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</si>
  <si>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</si>
  <si>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</si>
  <si>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</si>
  <si>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</si>
  <si>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</si>
  <si>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</si>
  <si>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</si>
  <si>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</si>
  <si>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</si>
  <si>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</si>
  <si>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</si>
  <si>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</si>
  <si>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</si>
  <si>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</si>
  <si>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</si>
  <si>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</si>
  <si>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</si>
  <si>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</si>
  <si>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</si>
  <si>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</si>
  <si>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</si>
  <si>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</si>
  <si>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</si>
  <si>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</si>
  <si>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</si>
  <si>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</si>
  <si>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</si>
  <si>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</si>
  <si>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</si>
  <si>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</si>
  <si>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</si>
  <si>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</si>
  <si>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</si>
  <si>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</si>
  <si>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</si>
  <si>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</si>
  <si>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</si>
  <si>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</si>
  <si>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</si>
  <si>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</si>
  <si>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</si>
  <si>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</si>
  <si>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</si>
  <si>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</si>
  <si>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</si>
  <si>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</si>
  <si>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</si>
  <si>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</si>
  <si>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</si>
  <si>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</si>
  <si>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</si>
  <si>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</si>
  <si>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</si>
  <si>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</si>
  <si>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</si>
  <si>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</si>
  <si>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</si>
  <si>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</si>
  <si>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</si>
  <si>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</si>
  <si>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</si>
  <si>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</si>
  <si>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</si>
  <si>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</si>
  <si>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</si>
  <si>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</si>
  <si>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</si>
  <si>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</si>
  <si>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</si>
  <si>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</si>
  <si>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</si>
  <si>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</si>
  <si>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</si>
  <si>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</si>
  <si>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</si>
  <si>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</si>
  <si>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</si>
  <si>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</si>
  <si>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</si>
  <si>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</si>
  <si>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</si>
  <si>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</si>
  <si>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</si>
  <si>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</si>
  <si>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</si>
  <si>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</si>
  <si>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</si>
  <si>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</si>
  <si>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</si>
  <si>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</si>
  <si>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</si>
  <si>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</si>
  <si>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</si>
  <si>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</si>
  <si>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</si>
  <si>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</si>
  <si>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</si>
  <si>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</si>
  <si>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</si>
  <si>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</si>
  <si>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</si>
  <si>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</si>
  <si>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</si>
  <si>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</si>
  <si>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</si>
  <si>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</si>
  <si>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</si>
  <si>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</si>
  <si>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</si>
  <si>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</si>
  <si>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</si>
  <si>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</si>
  <si>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</si>
  <si>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</si>
  <si>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</si>
  <si>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</si>
  <si>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</si>
  <si>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</si>
  <si>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</si>
  <si>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</si>
  <si>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</si>
  <si>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</si>
  <si>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</si>
  <si>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</si>
  <si>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</si>
  <si>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</si>
  <si>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</si>
  <si>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</si>
  <si>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</si>
  <si>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</si>
  <si>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</si>
  <si>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</si>
  <si>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</si>
  <si>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</si>
  <si>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</si>
  <si>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</si>
  <si>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</si>
  <si>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</si>
  <si>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</si>
  <si>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</si>
  <si>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</si>
  <si>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</si>
  <si>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</si>
  <si>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</si>
  <si>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</si>
  <si>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</si>
  <si>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</si>
  <si>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</si>
  <si>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</si>
  <si>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</si>
  <si>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</si>
  <si>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</si>
  <si>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</si>
  <si>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</si>
  <si>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</si>
  <si>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</si>
  <si>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</si>
  <si>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</si>
  <si>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</si>
  <si>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</si>
  <si>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</si>
  <si>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and Finance course.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</si>
  <si>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</si>
  <si>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</si>
  <si>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</si>
  <si>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</si>
  <si>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Billionaires Dataset.</t>
  </si>
  <si>
    <t>FEMALE</t>
  </si>
  <si>
    <t>MALE</t>
  </si>
  <si>
    <t>Age</t>
  </si>
  <si>
    <t>Birth Date</t>
  </si>
  <si>
    <t>Current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</si>
</sst>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0" borderId="10" xfId="0" applyBorder="1"/>
    <xf numFmtId="0" fontId="19" fillId="0" borderId="11" xfId="0" applyFont="1" applyBorder="1" applyAlignment="1">
      <alignment horizontal="center" vertical="center"/>
    </xf>
    <xf numFmtId="0" fontId="0" fillId="0" borderId="12" xfId="0" applyBorder="1"/>
    <xf numFmtId="0" fontId="0" fillId="33" borderId="0" xfId="0" applyFill="1"/>
    <xf numFmtId="0" fontId="0" fillId="0" borderId="13" xfId="0" applyBorder="1"/>
    <xf numFmtId="0" fontId="20" fillId="0" borderId="0" xfId="0" applyFont="1" applyAlignment="1">
      <alignment horizontal="center" vertical="center"/>
    </xf>
    <xf numFmtId="0" fontId="0" fillId="0" borderId="14" xfId="0" applyBorder="1"/>
    <xf numFmtId="0" fontId="1" fillId="0" borderId="13" xfId="0" applyFont="1" applyBorder="1"/>
    <xf numFmtId="0" fontId="21" fillId="0" borderId="0" xfId="0" applyFont="1" applyAlignment="1">
      <alignment horizontal="center"/>
    </xf>
    <xf numFmtId="0" fontId="1" fillId="0" borderId="14" xfId="0" applyFont="1" applyBorder="1"/>
    <xf numFmtId="0" fontId="1" fillId="33" borderId="0" xfId="0" applyFont="1" applyFill="1"/>
    <xf numFmtId="0" fontId="1" fillId="0" borderId="0" xfId="0" applyFont="1"/>
    <xf numFmtId="0" fontId="0" fillId="0" borderId="13" xfId="0" applyBorder="1" applyAlignment="1">
      <alignment vertical="center"/>
    </xf>
    <xf numFmtId="0" fontId="23" fillId="34" borderId="15" xfId="42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33" borderId="0" xfId="0" applyFill="1" applyAlignment="1">
      <alignment vertical="center"/>
    </xf>
    <xf numFmtId="0" fontId="24" fillId="0" borderId="0" xfId="42" applyFont="1" applyFill="1" applyBorder="1"/>
    <xf numFmtId="0" fontId="25" fillId="0" borderId="16" xfId="0" applyFont="1" applyBorder="1"/>
    <xf numFmtId="0" fontId="0" fillId="0" borderId="0" xfId="0" applyAlignment="1">
      <alignment vertical="top" wrapText="1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14" fontId="0" fillId="0" borderId="0" xfId="0" applyNumberFormat="1"/>
    <xf numFmtId="3" fontId="16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A5A4F-775D-480C-A8C1-F6E68EF3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5407" y="1228142"/>
          <a:ext cx="3204694" cy="11149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15A0-D6C6-43C4-A66E-7661AFD1C3C9}">
  <dimension ref="B3:D16"/>
  <sheetViews>
    <sheetView showGridLines="0" zoomScale="110" zoomScaleNormal="110" workbookViewId="0">
      <selection activeCell="C9" sqref="C9"/>
    </sheetView>
  </sheetViews>
  <sheetFormatPr defaultColWidth="10.875" defaultRowHeight="15.75" x14ac:dyDescent="0.25"/>
  <cols>
    <col min="1" max="1" width="10.875" style="6"/>
    <col min="2" max="2" width="8.5" style="6" customWidth="1"/>
    <col min="3" max="3" width="102.625" style="6" bestFit="1" customWidth="1"/>
    <col min="4" max="4" width="9.5" style="6" customWidth="1"/>
    <col min="5" max="16384" width="10.875" style="6"/>
  </cols>
  <sheetData>
    <row r="3" spans="2:4" ht="61.5" x14ac:dyDescent="0.25">
      <c r="B3" s="3"/>
      <c r="C3" s="4" t="s">
        <v>1802</v>
      </c>
      <c r="D3" s="5"/>
    </row>
    <row r="4" spans="2:4" ht="54" customHeight="1" x14ac:dyDescent="0.25">
      <c r="B4" s="7"/>
      <c r="C4" s="8"/>
      <c r="D4" s="9"/>
    </row>
    <row r="5" spans="2:4" ht="32.1" customHeight="1" x14ac:dyDescent="0.25">
      <c r="B5" s="7"/>
      <c r="C5" s="8"/>
      <c r="D5" s="9"/>
    </row>
    <row r="6" spans="2:4" x14ac:dyDescent="0.25">
      <c r="B6" s="7"/>
      <c r="C6"/>
      <c r="D6" s="9"/>
    </row>
    <row r="7" spans="2:4" s="13" customFormat="1" ht="21" x14ac:dyDescent="0.35">
      <c r="B7" s="10"/>
      <c r="C7" s="11" t="s">
        <v>1796</v>
      </c>
      <c r="D7" s="12"/>
    </row>
    <row r="8" spans="2:4" s="13" customFormat="1" x14ac:dyDescent="0.25">
      <c r="B8" s="10"/>
      <c r="C8" s="14"/>
      <c r="D8" s="12"/>
    </row>
    <row r="9" spans="2:4" s="18" customFormat="1" ht="23.25" x14ac:dyDescent="0.25">
      <c r="B9" s="15"/>
      <c r="C9" s="16" t="s">
        <v>1797</v>
      </c>
      <c r="D9" s="17"/>
    </row>
    <row r="10" spans="2:4" x14ac:dyDescent="0.25">
      <c r="B10" s="7"/>
      <c r="C10"/>
      <c r="D10" s="9"/>
    </row>
    <row r="11" spans="2:4" ht="18.75" x14ac:dyDescent="0.3">
      <c r="B11" s="7"/>
      <c r="C11" s="19" t="s">
        <v>1798</v>
      </c>
      <c r="D11" s="9"/>
    </row>
    <row r="12" spans="2:4" x14ac:dyDescent="0.25">
      <c r="B12" s="7"/>
      <c r="C12"/>
      <c r="D12" s="9"/>
    </row>
    <row r="13" spans="2:4" x14ac:dyDescent="0.25">
      <c r="B13" s="7"/>
      <c r="C13" s="20" t="s">
        <v>1799</v>
      </c>
      <c r="D13" s="9"/>
    </row>
    <row r="14" spans="2:4" x14ac:dyDescent="0.25">
      <c r="B14" s="7"/>
      <c r="C14" t="s">
        <v>1800</v>
      </c>
      <c r="D14" s="9"/>
    </row>
    <row r="15" spans="2:4" ht="31.5" x14ac:dyDescent="0.25">
      <c r="B15" s="7"/>
      <c r="C15" s="21" t="s">
        <v>1801</v>
      </c>
      <c r="D15" s="9"/>
    </row>
    <row r="16" spans="2:4" x14ac:dyDescent="0.25">
      <c r="B16" s="22"/>
      <c r="C16" s="23"/>
      <c r="D16" s="24"/>
    </row>
  </sheetData>
  <sheetProtection algorithmName="SHA-512" hashValue="G1RY5hOcqj4suHHa1tx1y0eYlLPpf95bmL4lYksRikKFwHedZlTCT3jrCsJQbTdg98ZLWbWzP+gWHNd0JpLWSw==" saltValue="OqagwMq3QH3a3V1+ahgTuw==" spinCount="100000" sheet="1" objects="1" scenarios="1"/>
  <hyperlinks>
    <hyperlink ref="C11" r:id="rId1" display="Made by Kenji Explains" xr:uid="{3DB125ED-C9A7-476E-999B-43142C0A80F7}"/>
    <hyperlink ref="C9" r:id="rId2" display="Get our Power BI for Business Analytics." xr:uid="{C5B491A5-BC64-4C83-BE47-F7652704CA47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2"/>
  <sheetViews>
    <sheetView zoomScale="107" workbookViewId="0">
      <selection sqref="A1:U482"/>
    </sheetView>
  </sheetViews>
  <sheetFormatPr defaultColWidth="10.625" defaultRowHeight="15.75" x14ac:dyDescent="0.2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 x14ac:dyDescent="0.25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 x14ac:dyDescent="0.25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 x14ac:dyDescent="0.25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 x14ac:dyDescent="0.25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 x14ac:dyDescent="0.25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 x14ac:dyDescent="0.25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 x14ac:dyDescent="0.25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 x14ac:dyDescent="0.25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 x14ac:dyDescent="0.25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25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25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25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25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25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25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25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25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25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25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25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25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25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25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25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25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25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25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25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25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25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25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25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25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25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25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25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25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25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25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25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25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25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25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25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25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25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25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25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25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25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25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25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25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25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25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25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25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25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25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25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25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25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25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25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25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25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25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25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25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25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25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25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25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25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25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25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25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25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25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25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25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25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25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25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25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25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25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25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25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25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25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25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25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25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25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25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25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25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25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25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25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25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25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25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25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25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25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25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25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25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25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25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25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25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25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25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25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25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25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25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25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25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25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25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25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25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25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25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25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25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25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25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25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25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25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25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25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25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25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25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25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25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25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25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25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25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25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25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25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25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25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25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25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25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25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25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25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25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25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25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25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25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25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25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25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25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25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25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25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25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25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25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25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25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25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25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25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25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25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25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25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25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25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25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25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25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25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25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25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25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25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25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25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25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25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25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25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25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25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25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25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25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25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25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25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25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25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25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25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25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25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25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25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25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25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25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25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25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25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25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25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25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25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25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25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25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25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25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25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25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25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25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25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25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25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25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25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25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25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25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25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25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25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25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25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25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25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25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25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25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25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25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25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25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25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25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25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25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25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25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25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25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25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25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25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25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25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25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25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25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25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25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25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25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25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25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25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25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25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25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25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25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25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25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25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25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25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25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25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25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25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25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25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25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25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25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25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25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25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25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25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25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25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25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25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25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25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25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25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25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25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25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25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25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25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25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25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25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25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25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25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25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25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25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25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25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25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25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25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25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25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25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25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25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25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25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25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25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25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25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25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25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25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25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25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25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25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25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25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25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25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25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25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25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25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25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25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25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25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25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25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25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25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25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25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25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25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25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25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25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25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25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25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25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25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25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25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25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25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25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25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25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25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25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25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25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25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25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25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25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25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25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25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25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25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25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25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25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25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25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25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25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25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25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25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25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25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25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25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25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25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25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25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25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25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25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25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25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25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25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25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25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25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25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25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25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25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25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25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25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25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25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25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25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25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25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25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25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25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25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25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25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25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25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25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25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25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25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25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25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25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25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25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25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25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25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25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25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25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25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25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25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25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25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25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25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25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25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25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25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25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25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25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25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25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F1EE-521C-4CFB-85ED-728525B370F7}">
  <dimension ref="A1:Y476"/>
  <sheetViews>
    <sheetView tabSelected="1" topLeftCell="J1" workbookViewId="0">
      <selection activeCell="Y2" sqref="Y2"/>
    </sheetView>
  </sheetViews>
  <sheetFormatPr defaultRowHeight="15.75" x14ac:dyDescent="0.25"/>
  <cols>
    <col min="17" max="17" width="17.125" style="27" bestFit="1" customWidth="1"/>
    <col min="23" max="23" width="9.375" bestFit="1" customWidth="1"/>
    <col min="24" max="24" width="10.375" bestFit="1" customWidth="1"/>
    <col min="25" max="25" width="19.625" bestFit="1" customWidth="1"/>
  </cols>
  <sheetData>
    <row r="1" spans="1:25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6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1805</v>
      </c>
      <c r="W1" s="2" t="s">
        <v>1807</v>
      </c>
      <c r="X1" s="2" t="s">
        <v>1806</v>
      </c>
    </row>
    <row r="2" spans="1:25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1804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27">
        <v>2715518274220</v>
      </c>
      <c r="R2">
        <v>82.5</v>
      </c>
      <c r="S2">
        <v>24.2</v>
      </c>
      <c r="T2">
        <v>60.7</v>
      </c>
      <c r="U2">
        <v>67059887</v>
      </c>
      <c r="V2">
        <f t="shared" ref="V2:V65" ca="1" si="0">YEARFRAC(X2,W2,1)</f>
        <v>77.353855874197066</v>
      </c>
      <c r="W2" s="25">
        <f ca="1">TODAY()</f>
        <v>46215</v>
      </c>
      <c r="X2" s="25">
        <f>DATE(M2,N2,O2)</f>
        <v>17962</v>
      </c>
      <c r="Y2" s="28"/>
    </row>
    <row r="3" spans="1:25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1804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27">
        <v>21427700000000</v>
      </c>
      <c r="R3">
        <v>78.5</v>
      </c>
      <c r="S3">
        <v>9.6</v>
      </c>
      <c r="T3">
        <v>36.6</v>
      </c>
      <c r="U3">
        <v>328239523</v>
      </c>
      <c r="V3">
        <f t="shared" ca="1" si="0"/>
        <v>55.039014373716633</v>
      </c>
      <c r="W3" s="25">
        <f t="shared" ref="W3:W66" ca="1" si="1">TODAY()</f>
        <v>46215</v>
      </c>
      <c r="X3" s="25">
        <f t="shared" ref="X3:X66" si="2">DATE(M3,N3,O3)</f>
        <v>26112</v>
      </c>
    </row>
    <row r="4" spans="1:25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1804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27">
        <v>21427700000000</v>
      </c>
      <c r="R4">
        <v>78.5</v>
      </c>
      <c r="S4">
        <v>9.6</v>
      </c>
      <c r="T4">
        <v>36.6</v>
      </c>
      <c r="U4">
        <v>328239523</v>
      </c>
      <c r="V4">
        <f t="shared" ca="1" si="0"/>
        <v>62.496240928251709</v>
      </c>
      <c r="W4" s="25">
        <f t="shared" ca="1" si="1"/>
        <v>46215</v>
      </c>
      <c r="X4" s="25">
        <f t="shared" si="2"/>
        <v>23388</v>
      </c>
    </row>
    <row r="5" spans="1:25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1804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27">
        <v>21427700000000</v>
      </c>
      <c r="R5">
        <v>78.5</v>
      </c>
      <c r="S5">
        <v>9.6</v>
      </c>
      <c r="T5">
        <v>36.6</v>
      </c>
      <c r="U5">
        <v>328239523</v>
      </c>
      <c r="V5">
        <f t="shared" ca="1" si="0"/>
        <v>81.899393059770418</v>
      </c>
      <c r="W5" s="25">
        <f t="shared" ca="1" si="1"/>
        <v>46215</v>
      </c>
      <c r="X5" s="25">
        <f t="shared" si="2"/>
        <v>16301</v>
      </c>
    </row>
    <row r="6" spans="1:25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1804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27">
        <v>21427700000000</v>
      </c>
      <c r="R6">
        <v>78.5</v>
      </c>
      <c r="S6">
        <v>9.6</v>
      </c>
      <c r="T6">
        <v>36.6</v>
      </c>
      <c r="U6">
        <v>328239523</v>
      </c>
      <c r="V6">
        <f t="shared" ca="1" si="0"/>
        <v>95.866521775946254</v>
      </c>
      <c r="W6" s="25">
        <f t="shared" ca="1" si="1"/>
        <v>46215</v>
      </c>
      <c r="X6" s="25">
        <f t="shared" si="2"/>
        <v>11200</v>
      </c>
    </row>
    <row r="7" spans="1:25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1804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27">
        <v>2142770000000</v>
      </c>
      <c r="R7">
        <v>78.5</v>
      </c>
      <c r="S7">
        <v>9.6</v>
      </c>
      <c r="T7">
        <v>36.6</v>
      </c>
      <c r="U7">
        <v>328239523</v>
      </c>
      <c r="V7">
        <f t="shared" ca="1" si="0"/>
        <v>70.704996577686515</v>
      </c>
      <c r="W7" s="25">
        <f t="shared" ca="1" si="1"/>
        <v>46215</v>
      </c>
      <c r="X7" s="25">
        <f t="shared" si="2"/>
        <v>20390</v>
      </c>
    </row>
    <row r="8" spans="1:25" x14ac:dyDescent="0.25">
      <c r="A8">
        <v>7</v>
      </c>
      <c r="B8" t="s">
        <v>59</v>
      </c>
      <c r="C8" t="s">
        <v>60</v>
      </c>
      <c r="D8" t="s">
        <v>32</v>
      </c>
      <c r="E8" t="s">
        <v>61</v>
      </c>
      <c r="F8" t="s">
        <v>62</v>
      </c>
      <c r="G8" t="s">
        <v>59</v>
      </c>
      <c r="H8" t="b">
        <v>1</v>
      </c>
      <c r="I8" t="s">
        <v>1804</v>
      </c>
      <c r="J8" t="s">
        <v>63</v>
      </c>
      <c r="K8" t="s">
        <v>64</v>
      </c>
      <c r="L8">
        <v>94500</v>
      </c>
      <c r="M8">
        <v>1942</v>
      </c>
      <c r="N8">
        <v>2</v>
      </c>
      <c r="O8">
        <v>14</v>
      </c>
      <c r="P8">
        <v>117.24</v>
      </c>
      <c r="Q8" s="27">
        <v>21427700000000</v>
      </c>
      <c r="R8">
        <v>78.5</v>
      </c>
      <c r="S8">
        <v>9.6</v>
      </c>
      <c r="T8">
        <v>36.6</v>
      </c>
      <c r="U8">
        <v>328239523</v>
      </c>
      <c r="V8">
        <f t="shared" ca="1" si="0"/>
        <v>84.405881595052506</v>
      </c>
      <c r="W8" s="25">
        <f t="shared" ca="1" si="1"/>
        <v>46215</v>
      </c>
      <c r="X8" s="25">
        <f t="shared" si="2"/>
        <v>15386</v>
      </c>
    </row>
    <row r="9" spans="1:25" x14ac:dyDescent="0.25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65</v>
      </c>
      <c r="G9" t="s">
        <v>65</v>
      </c>
      <c r="H9" t="b">
        <v>1</v>
      </c>
      <c r="I9" t="s">
        <v>1804</v>
      </c>
      <c r="J9" t="s">
        <v>69</v>
      </c>
      <c r="K9" t="s">
        <v>70</v>
      </c>
      <c r="L9">
        <v>93000</v>
      </c>
      <c r="M9">
        <v>1940</v>
      </c>
      <c r="N9">
        <v>1</v>
      </c>
      <c r="O9">
        <v>28</v>
      </c>
      <c r="P9">
        <v>141.54</v>
      </c>
      <c r="Q9" s="27">
        <v>1258286717125</v>
      </c>
      <c r="R9">
        <v>75</v>
      </c>
      <c r="S9">
        <v>13.1</v>
      </c>
      <c r="T9">
        <v>55.1</v>
      </c>
      <c r="U9">
        <v>126014024</v>
      </c>
      <c r="V9">
        <f t="shared" ca="1" si="0"/>
        <v>86.452434150486198</v>
      </c>
      <c r="W9" s="25">
        <f t="shared" ca="1" si="1"/>
        <v>46215</v>
      </c>
      <c r="X9" s="25">
        <f t="shared" si="2"/>
        <v>14638</v>
      </c>
    </row>
    <row r="10" spans="1:25" x14ac:dyDescent="0.25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1804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>
        <v>180.44</v>
      </c>
      <c r="Q10" s="27">
        <v>2611000000000</v>
      </c>
      <c r="R10">
        <v>69.400000000000006</v>
      </c>
      <c r="S10">
        <v>11.2</v>
      </c>
      <c r="T10">
        <v>49.7</v>
      </c>
      <c r="U10">
        <v>1366417754</v>
      </c>
      <c r="V10">
        <f t="shared" ca="1" si="0"/>
        <v>69.230648883326168</v>
      </c>
      <c r="W10" s="25">
        <f t="shared" ca="1" si="1"/>
        <v>46215</v>
      </c>
      <c r="X10" s="25">
        <f t="shared" si="2"/>
        <v>20929</v>
      </c>
    </row>
    <row r="11" spans="1:25" x14ac:dyDescent="0.25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1804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 s="27">
        <v>21427700000000</v>
      </c>
      <c r="R11">
        <v>78.5</v>
      </c>
      <c r="S11">
        <v>9.6</v>
      </c>
      <c r="T11">
        <v>36.6</v>
      </c>
      <c r="U11">
        <v>328239523</v>
      </c>
      <c r="V11">
        <f t="shared" ca="1" si="0"/>
        <v>70.299116955230787</v>
      </c>
      <c r="W11" s="25">
        <f t="shared" ca="1" si="1"/>
        <v>46215</v>
      </c>
      <c r="X11" s="25">
        <f t="shared" si="2"/>
        <v>20538</v>
      </c>
    </row>
    <row r="12" spans="1:25" x14ac:dyDescent="0.25">
      <c r="A12">
        <v>11</v>
      </c>
      <c r="B12" t="s">
        <v>21</v>
      </c>
      <c r="C12" t="s">
        <v>83</v>
      </c>
      <c r="D12" t="s">
        <v>23</v>
      </c>
      <c r="E12" t="s">
        <v>24</v>
      </c>
      <c r="F12" t="s">
        <v>84</v>
      </c>
      <c r="G12" t="s">
        <v>21</v>
      </c>
      <c r="H12" t="b">
        <v>0</v>
      </c>
      <c r="I12" t="s">
        <v>1803</v>
      </c>
      <c r="J12" t="s">
        <v>86</v>
      </c>
      <c r="K12" t="s">
        <v>87</v>
      </c>
      <c r="L12">
        <v>80500</v>
      </c>
      <c r="M12">
        <v>1953</v>
      </c>
      <c r="N12">
        <v>7</v>
      </c>
      <c r="O12">
        <v>10</v>
      </c>
      <c r="P12">
        <v>110.05</v>
      </c>
      <c r="Q12" s="27">
        <v>2715518274227</v>
      </c>
      <c r="R12">
        <v>82.5</v>
      </c>
      <c r="S12">
        <v>24.2</v>
      </c>
      <c r="T12">
        <v>60.7</v>
      </c>
      <c r="U12">
        <v>67059887</v>
      </c>
      <c r="V12">
        <f t="shared" ca="1" si="0"/>
        <v>73.006141778895966</v>
      </c>
      <c r="W12" s="25">
        <f t="shared" ca="1" si="1"/>
        <v>46215</v>
      </c>
      <c r="X12" s="25">
        <f t="shared" si="2"/>
        <v>19550</v>
      </c>
    </row>
    <row r="13" spans="1:25" x14ac:dyDescent="0.25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1804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27">
        <v>21427700000000</v>
      </c>
      <c r="R13">
        <v>78.5</v>
      </c>
      <c r="S13">
        <v>9.6</v>
      </c>
      <c r="T13">
        <v>36.6</v>
      </c>
      <c r="U13">
        <v>328239523</v>
      </c>
      <c r="V13">
        <f t="shared" ca="1" si="0"/>
        <v>53.296354509962981</v>
      </c>
      <c r="W13" s="25">
        <f t="shared" ca="1" si="1"/>
        <v>46215</v>
      </c>
      <c r="X13" s="25">
        <f t="shared" si="2"/>
        <v>26749</v>
      </c>
    </row>
    <row r="14" spans="1:25" x14ac:dyDescent="0.25">
      <c r="A14">
        <v>13</v>
      </c>
      <c r="B14" t="s">
        <v>21</v>
      </c>
      <c r="C14" t="s">
        <v>92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1804</v>
      </c>
      <c r="J14" t="s">
        <v>96</v>
      </c>
      <c r="K14" t="s">
        <v>97</v>
      </c>
      <c r="L14">
        <v>77300</v>
      </c>
      <c r="M14">
        <v>1936</v>
      </c>
      <c r="N14">
        <v>3</v>
      </c>
      <c r="O14">
        <v>28</v>
      </c>
      <c r="P14">
        <v>110.96</v>
      </c>
      <c r="Q14" s="27">
        <v>1394116310769</v>
      </c>
      <c r="R14">
        <v>83.3</v>
      </c>
      <c r="S14">
        <v>14.2</v>
      </c>
      <c r="T14">
        <v>47</v>
      </c>
      <c r="U14">
        <v>47076781</v>
      </c>
      <c r="V14">
        <f t="shared" ca="1" si="0"/>
        <v>90.288164149467477</v>
      </c>
      <c r="W14" s="25">
        <f t="shared" ca="1" si="1"/>
        <v>46215</v>
      </c>
      <c r="X14" s="25">
        <f t="shared" si="2"/>
        <v>13237</v>
      </c>
    </row>
    <row r="15" spans="1:25" x14ac:dyDescent="0.25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1804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>
        <v>117.24</v>
      </c>
      <c r="Q15" s="27">
        <v>21427700000000</v>
      </c>
      <c r="R15">
        <v>78.5</v>
      </c>
      <c r="S15">
        <v>9.6</v>
      </c>
      <c r="T15">
        <v>36.6</v>
      </c>
      <c r="U15">
        <v>328239523</v>
      </c>
      <c r="V15">
        <f t="shared" ca="1" si="0"/>
        <v>52.891142321147896</v>
      </c>
      <c r="W15" s="25">
        <f t="shared" ca="1" si="1"/>
        <v>46215</v>
      </c>
      <c r="X15" s="25">
        <f t="shared" si="2"/>
        <v>26897</v>
      </c>
    </row>
    <row r="16" spans="1:25" x14ac:dyDescent="0.25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b">
        <v>1</v>
      </c>
      <c r="I16" t="s">
        <v>1804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>
        <v>125.08</v>
      </c>
      <c r="Q16" s="27">
        <v>19910000000000</v>
      </c>
      <c r="R16">
        <v>77</v>
      </c>
      <c r="S16">
        <v>9.4</v>
      </c>
      <c r="T16">
        <v>59.2</v>
      </c>
      <c r="U16">
        <v>1397715000</v>
      </c>
      <c r="V16">
        <f t="shared" ca="1" si="0"/>
        <v>71.611896635787417</v>
      </c>
      <c r="W16" s="25">
        <f t="shared" ca="1" si="1"/>
        <v>46215</v>
      </c>
      <c r="X16" s="25">
        <f t="shared" si="2"/>
        <v>20059</v>
      </c>
    </row>
    <row r="17" spans="1:24" x14ac:dyDescent="0.25">
      <c r="A17">
        <v>16</v>
      </c>
      <c r="B17" t="s">
        <v>38</v>
      </c>
      <c r="C17" t="s">
        <v>111</v>
      </c>
      <c r="D17" t="s">
        <v>32</v>
      </c>
      <c r="E17" t="s">
        <v>89</v>
      </c>
      <c r="F17" t="s">
        <v>112</v>
      </c>
      <c r="G17" t="s">
        <v>38</v>
      </c>
      <c r="H17" t="b">
        <v>1</v>
      </c>
      <c r="I17" t="s">
        <v>1804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>
        <v>117.24</v>
      </c>
      <c r="Q17" s="27">
        <v>21427700000000</v>
      </c>
      <c r="R17">
        <v>78.5</v>
      </c>
      <c r="S17">
        <v>9.6</v>
      </c>
      <c r="T17">
        <v>36.6</v>
      </c>
      <c r="U17">
        <v>328239523</v>
      </c>
      <c r="V17">
        <f t="shared" ca="1" si="0"/>
        <v>42.159493187316947</v>
      </c>
      <c r="W17" s="25">
        <f t="shared" ca="1" si="1"/>
        <v>46215</v>
      </c>
      <c r="X17" s="25">
        <f t="shared" si="2"/>
        <v>30816</v>
      </c>
    </row>
    <row r="18" spans="1:24" x14ac:dyDescent="0.25">
      <c r="A18">
        <v>17</v>
      </c>
      <c r="B18" t="s">
        <v>72</v>
      </c>
      <c r="C18" t="s">
        <v>115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1804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27">
        <v>21427700000000</v>
      </c>
      <c r="R18">
        <v>78.5</v>
      </c>
      <c r="S18">
        <v>9.6</v>
      </c>
      <c r="T18">
        <v>36.6</v>
      </c>
      <c r="U18">
        <v>328239523</v>
      </c>
      <c r="V18">
        <f t="shared" ca="1" si="0"/>
        <v>90.69404517453799</v>
      </c>
      <c r="W18" s="25">
        <f t="shared" ca="1" si="1"/>
        <v>46215</v>
      </c>
      <c r="X18" s="25">
        <f t="shared" si="2"/>
        <v>13089</v>
      </c>
    </row>
    <row r="19" spans="1:24" x14ac:dyDescent="0.25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1803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27">
        <v>21427700000000</v>
      </c>
      <c r="R19">
        <v>78.5</v>
      </c>
      <c r="S19">
        <v>9.6</v>
      </c>
      <c r="T19">
        <v>36.6</v>
      </c>
      <c r="U19">
        <v>328239523</v>
      </c>
      <c r="V19">
        <f t="shared" ca="1" si="0"/>
        <v>64.249820984794241</v>
      </c>
      <c r="W19" s="25">
        <f t="shared" ca="1" si="1"/>
        <v>46215</v>
      </c>
      <c r="X19" s="25">
        <f t="shared" si="2"/>
        <v>22748</v>
      </c>
    </row>
    <row r="20" spans="1:24" x14ac:dyDescent="0.25">
      <c r="A20">
        <v>19</v>
      </c>
      <c r="B20" t="s">
        <v>21</v>
      </c>
      <c r="C20" t="s">
        <v>122</v>
      </c>
      <c r="D20" t="s">
        <v>32</v>
      </c>
      <c r="E20" t="s">
        <v>123</v>
      </c>
      <c r="F20" t="s">
        <v>124</v>
      </c>
      <c r="G20" t="s">
        <v>21</v>
      </c>
      <c r="H20" t="b">
        <v>0</v>
      </c>
      <c r="I20" t="s">
        <v>1804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>
        <v>117.24</v>
      </c>
      <c r="Q20" s="27">
        <v>21427700000000</v>
      </c>
      <c r="R20">
        <v>78.5</v>
      </c>
      <c r="S20">
        <v>9.6</v>
      </c>
      <c r="T20">
        <v>36.6</v>
      </c>
      <c r="U20">
        <v>328239523</v>
      </c>
      <c r="V20">
        <f t="shared" ca="1" si="0"/>
        <v>78.093779241032749</v>
      </c>
      <c r="W20" s="25">
        <f t="shared" ca="1" si="1"/>
        <v>46215</v>
      </c>
      <c r="X20" s="25">
        <f t="shared" si="2"/>
        <v>17691</v>
      </c>
    </row>
    <row r="21" spans="1:24" x14ac:dyDescent="0.25">
      <c r="A21">
        <v>20</v>
      </c>
      <c r="B21" t="s">
        <v>21</v>
      </c>
      <c r="C21" t="s">
        <v>127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1804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27">
        <v>21427700000000</v>
      </c>
      <c r="R21">
        <v>78.5</v>
      </c>
      <c r="S21">
        <v>9.6</v>
      </c>
      <c r="T21">
        <v>36.6</v>
      </c>
      <c r="U21">
        <v>328239523</v>
      </c>
      <c r="V21">
        <f t="shared" ca="1" si="0"/>
        <v>81.705007256894049</v>
      </c>
      <c r="W21" s="25">
        <f t="shared" ca="1" si="1"/>
        <v>46215</v>
      </c>
      <c r="X21" s="25">
        <f t="shared" si="2"/>
        <v>16372</v>
      </c>
    </row>
    <row r="22" spans="1:24" x14ac:dyDescent="0.25">
      <c r="A22">
        <v>21</v>
      </c>
      <c r="B22" t="s">
        <v>21</v>
      </c>
      <c r="C22" t="s">
        <v>129</v>
      </c>
      <c r="D22" t="s">
        <v>32</v>
      </c>
      <c r="E22" t="s">
        <v>130</v>
      </c>
      <c r="F22" t="s">
        <v>124</v>
      </c>
      <c r="G22" t="s">
        <v>21</v>
      </c>
      <c r="H22" t="b">
        <v>0</v>
      </c>
      <c r="I22" t="s">
        <v>1803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27">
        <v>21427700000000</v>
      </c>
      <c r="R22">
        <v>78.5</v>
      </c>
      <c r="S22">
        <v>9.6</v>
      </c>
      <c r="T22">
        <v>36.6</v>
      </c>
      <c r="U22">
        <v>328239523</v>
      </c>
      <c r="V22">
        <f t="shared" ca="1" si="0"/>
        <v>76.762469725157089</v>
      </c>
      <c r="W22" s="25">
        <f t="shared" ca="1" si="1"/>
        <v>46215</v>
      </c>
      <c r="X22" s="25">
        <f t="shared" si="2"/>
        <v>18178</v>
      </c>
    </row>
    <row r="23" spans="1:24" x14ac:dyDescent="0.25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1804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27">
        <v>1736425629520</v>
      </c>
      <c r="R23">
        <v>81.900000000000006</v>
      </c>
      <c r="S23">
        <v>12.8</v>
      </c>
      <c r="T23">
        <v>24.5</v>
      </c>
      <c r="U23">
        <v>36991981</v>
      </c>
      <c r="V23">
        <f t="shared" ca="1" si="0"/>
        <v>69.082802049516957</v>
      </c>
      <c r="W23" s="25">
        <f t="shared" ca="1" si="1"/>
        <v>46215</v>
      </c>
      <c r="X23" s="25">
        <f t="shared" si="2"/>
        <v>20983</v>
      </c>
    </row>
    <row r="24" spans="1:24" x14ac:dyDescent="0.25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1804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>
        <v>117.24</v>
      </c>
      <c r="Q24" s="27">
        <v>21427700000000</v>
      </c>
      <c r="R24">
        <v>78.5</v>
      </c>
      <c r="S24">
        <v>9.6</v>
      </c>
      <c r="T24">
        <v>36.6</v>
      </c>
      <c r="U24">
        <v>328239523</v>
      </c>
      <c r="V24">
        <f t="shared" ca="1" si="0"/>
        <v>61.381232060057407</v>
      </c>
      <c r="W24" s="25">
        <f t="shared" ca="1" si="1"/>
        <v>46215</v>
      </c>
      <c r="X24" s="25">
        <f t="shared" si="2"/>
        <v>23796</v>
      </c>
    </row>
    <row r="25" spans="1:24" x14ac:dyDescent="0.25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1804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>
        <v>180.44</v>
      </c>
      <c r="Q25" s="27">
        <v>2611000000000</v>
      </c>
      <c r="R25">
        <v>69.400000000000006</v>
      </c>
      <c r="S25">
        <v>11.2</v>
      </c>
      <c r="T25">
        <v>49.7</v>
      </c>
      <c r="U25">
        <v>1366417754</v>
      </c>
      <c r="V25">
        <f t="shared" ca="1" si="0"/>
        <v>64.049955772713872</v>
      </c>
      <c r="W25" s="25">
        <f t="shared" ca="1" si="1"/>
        <v>46215</v>
      </c>
      <c r="X25" s="25">
        <f t="shared" si="2"/>
        <v>22821</v>
      </c>
    </row>
    <row r="26" spans="1:24" x14ac:dyDescent="0.25">
      <c r="A26">
        <v>25</v>
      </c>
      <c r="B26" t="s">
        <v>21</v>
      </c>
      <c r="C26" t="s">
        <v>147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1804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>
        <v>117.24</v>
      </c>
      <c r="Q26" s="27">
        <v>21427700000000</v>
      </c>
      <c r="R26">
        <v>78.5</v>
      </c>
      <c r="S26">
        <v>9.6</v>
      </c>
      <c r="T26">
        <v>36.6</v>
      </c>
      <c r="U26">
        <v>328239523</v>
      </c>
      <c r="V26">
        <f t="shared" ca="1" si="0"/>
        <v>88.378503091641804</v>
      </c>
      <c r="W26" s="25">
        <f t="shared" ca="1" si="1"/>
        <v>46215</v>
      </c>
      <c r="X26" s="25">
        <f t="shared" si="2"/>
        <v>13935</v>
      </c>
    </row>
    <row r="27" spans="1:24" x14ac:dyDescent="0.25">
      <c r="A27">
        <v>26</v>
      </c>
      <c r="B27" t="s">
        <v>38</v>
      </c>
      <c r="C27" t="s">
        <v>152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1804</v>
      </c>
      <c r="J27" t="s">
        <v>155</v>
      </c>
      <c r="K27" t="s">
        <v>156</v>
      </c>
      <c r="L27">
        <v>45000</v>
      </c>
      <c r="M27">
        <v>1984</v>
      </c>
      <c r="N27">
        <v>1</v>
      </c>
      <c r="O27">
        <v>1</v>
      </c>
      <c r="P27">
        <v>125.08</v>
      </c>
      <c r="Q27" s="27">
        <v>19910000000000</v>
      </c>
      <c r="R27">
        <v>77</v>
      </c>
      <c r="S27">
        <v>9.4</v>
      </c>
      <c r="T27">
        <v>59.2</v>
      </c>
      <c r="U27">
        <v>1397715000</v>
      </c>
      <c r="V27">
        <f t="shared" ca="1" si="0"/>
        <v>42.526359353113463</v>
      </c>
      <c r="W27" s="25">
        <f t="shared" ca="1" si="1"/>
        <v>46215</v>
      </c>
      <c r="X27" s="25">
        <f t="shared" si="2"/>
        <v>30682</v>
      </c>
    </row>
    <row r="28" spans="1:24" x14ac:dyDescent="0.25">
      <c r="A28">
        <v>27</v>
      </c>
      <c r="B28" t="s">
        <v>21</v>
      </c>
      <c r="C28" t="s">
        <v>157</v>
      </c>
      <c r="D28" t="s">
        <v>158</v>
      </c>
      <c r="E28" t="s">
        <v>159</v>
      </c>
      <c r="F28" t="s">
        <v>160</v>
      </c>
      <c r="G28" t="s">
        <v>21</v>
      </c>
      <c r="H28" t="b">
        <v>0</v>
      </c>
      <c r="I28" t="s">
        <v>1804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>
        <v>112.85</v>
      </c>
      <c r="Q28" s="27">
        <v>3845630030824</v>
      </c>
      <c r="R28">
        <v>80.900000000000006</v>
      </c>
      <c r="S28">
        <v>11.5</v>
      </c>
      <c r="T28">
        <v>48.8</v>
      </c>
      <c r="U28">
        <v>83132799</v>
      </c>
      <c r="V28">
        <f t="shared" ca="1" si="0"/>
        <v>86.798083504449011</v>
      </c>
      <c r="W28" s="25">
        <f t="shared" ca="1" si="1"/>
        <v>46215</v>
      </c>
      <c r="X28" s="25">
        <f t="shared" si="2"/>
        <v>14512</v>
      </c>
    </row>
    <row r="29" spans="1:24" x14ac:dyDescent="0.25">
      <c r="A29">
        <v>28</v>
      </c>
      <c r="B29" t="s">
        <v>21</v>
      </c>
      <c r="C29" t="s">
        <v>164</v>
      </c>
      <c r="D29" t="s">
        <v>23</v>
      </c>
      <c r="E29" t="s">
        <v>24</v>
      </c>
      <c r="F29" t="s">
        <v>165</v>
      </c>
      <c r="G29" t="s">
        <v>21</v>
      </c>
      <c r="H29" t="b">
        <v>1</v>
      </c>
      <c r="I29" t="s">
        <v>1804</v>
      </c>
      <c r="J29" t="s">
        <v>166</v>
      </c>
      <c r="K29" t="s">
        <v>167</v>
      </c>
      <c r="L29">
        <v>40100</v>
      </c>
      <c r="M29">
        <v>1936</v>
      </c>
      <c r="N29">
        <v>8</v>
      </c>
      <c r="O29">
        <v>21</v>
      </c>
      <c r="P29">
        <v>110.05</v>
      </c>
      <c r="Q29" s="27">
        <v>2715518274227</v>
      </c>
      <c r="R29">
        <v>82.5</v>
      </c>
      <c r="S29">
        <v>24.2</v>
      </c>
      <c r="T29">
        <v>60.7</v>
      </c>
      <c r="U29">
        <v>67059887</v>
      </c>
      <c r="V29">
        <f t="shared" ca="1" si="0"/>
        <v>89.888440941091517</v>
      </c>
      <c r="W29" s="25">
        <f t="shared" ca="1" si="1"/>
        <v>46215</v>
      </c>
      <c r="X29" s="25">
        <f t="shared" si="2"/>
        <v>13383</v>
      </c>
    </row>
    <row r="30" spans="1:24" x14ac:dyDescent="0.25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1804</v>
      </c>
      <c r="J30" t="s">
        <v>173</v>
      </c>
      <c r="K30" t="s">
        <v>174</v>
      </c>
      <c r="L30">
        <v>39100</v>
      </c>
      <c r="M30">
        <v>1937</v>
      </c>
      <c r="N30">
        <v>6</v>
      </c>
      <c r="O30">
        <v>2</v>
      </c>
      <c r="P30">
        <v>99.55</v>
      </c>
      <c r="Q30" s="27">
        <v>703082435360</v>
      </c>
      <c r="R30">
        <v>83.6</v>
      </c>
      <c r="S30">
        <v>10.1</v>
      </c>
      <c r="T30">
        <v>28.8</v>
      </c>
      <c r="U30">
        <v>8574832</v>
      </c>
      <c r="V30">
        <f t="shared" ca="1" si="0"/>
        <v>89.110184959844233</v>
      </c>
      <c r="W30" s="25">
        <f t="shared" ca="1" si="1"/>
        <v>46215</v>
      </c>
      <c r="X30" s="25">
        <f t="shared" si="2"/>
        <v>13668</v>
      </c>
    </row>
    <row r="31" spans="1:24" x14ac:dyDescent="0.25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1804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 s="27">
        <v>529606710418</v>
      </c>
      <c r="R31">
        <v>81.599999999999994</v>
      </c>
      <c r="S31">
        <v>24</v>
      </c>
      <c r="T31">
        <v>55.4</v>
      </c>
      <c r="U31">
        <v>11484055</v>
      </c>
      <c r="V31">
        <f t="shared" ca="1" si="0"/>
        <v>61.803572204597799</v>
      </c>
      <c r="W31" s="25">
        <f t="shared" ca="1" si="1"/>
        <v>46215</v>
      </c>
      <c r="X31" s="25">
        <f t="shared" si="2"/>
        <v>23641</v>
      </c>
    </row>
    <row r="32" spans="1:24" x14ac:dyDescent="0.25">
      <c r="A32">
        <v>31</v>
      </c>
      <c r="B32" t="s">
        <v>103</v>
      </c>
      <c r="C32" t="s">
        <v>183</v>
      </c>
      <c r="D32" t="s">
        <v>32</v>
      </c>
      <c r="E32" t="s">
        <v>184</v>
      </c>
      <c r="F32" t="s">
        <v>185</v>
      </c>
      <c r="G32" t="s">
        <v>103</v>
      </c>
      <c r="H32" t="b">
        <v>0</v>
      </c>
      <c r="I32" t="s">
        <v>1803</v>
      </c>
      <c r="J32" t="s">
        <v>186</v>
      </c>
      <c r="K32" t="s">
        <v>187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27">
        <v>21427700000000</v>
      </c>
      <c r="R32">
        <v>78.5</v>
      </c>
      <c r="S32">
        <v>9.6</v>
      </c>
      <c r="T32">
        <v>36.6</v>
      </c>
      <c r="U32">
        <v>328239523</v>
      </c>
      <c r="V32">
        <f t="shared" ca="1" si="0"/>
        <v>86.754277891854898</v>
      </c>
      <c r="W32" s="25">
        <f t="shared" ca="1" si="1"/>
        <v>46215</v>
      </c>
      <c r="X32" s="25">
        <f t="shared" si="2"/>
        <v>14528</v>
      </c>
    </row>
    <row r="33" spans="1:24" x14ac:dyDescent="0.25">
      <c r="A33">
        <v>31</v>
      </c>
      <c r="B33" t="s">
        <v>103</v>
      </c>
      <c r="C33" t="s">
        <v>188</v>
      </c>
      <c r="D33" t="s">
        <v>32</v>
      </c>
      <c r="E33" t="s">
        <v>189</v>
      </c>
      <c r="F33" t="s">
        <v>185</v>
      </c>
      <c r="G33" t="s">
        <v>103</v>
      </c>
      <c r="H33" t="b">
        <v>0</v>
      </c>
      <c r="I33" t="s">
        <v>1804</v>
      </c>
      <c r="J33" t="s">
        <v>186</v>
      </c>
      <c r="K33" t="s">
        <v>190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27">
        <v>21427700000000</v>
      </c>
      <c r="R33">
        <v>78.5</v>
      </c>
      <c r="S33">
        <v>9.6</v>
      </c>
      <c r="T33">
        <v>36.6</v>
      </c>
      <c r="U33">
        <v>328239523</v>
      </c>
      <c r="V33">
        <f t="shared" ca="1" si="0"/>
        <v>90.740588637919231</v>
      </c>
      <c r="W33" s="25">
        <f t="shared" ca="1" si="1"/>
        <v>46215</v>
      </c>
      <c r="X33" s="25">
        <f t="shared" si="2"/>
        <v>13072</v>
      </c>
    </row>
    <row r="34" spans="1:24" x14ac:dyDescent="0.25">
      <c r="A34">
        <v>34</v>
      </c>
      <c r="B34" t="s">
        <v>38</v>
      </c>
      <c r="C34" t="s">
        <v>191</v>
      </c>
      <c r="D34" t="s">
        <v>105</v>
      </c>
      <c r="E34" t="s">
        <v>192</v>
      </c>
      <c r="F34" t="s">
        <v>193</v>
      </c>
      <c r="G34" t="s">
        <v>38</v>
      </c>
      <c r="H34" t="b">
        <v>1</v>
      </c>
      <c r="I34" t="s">
        <v>1804</v>
      </c>
      <c r="J34" t="s">
        <v>194</v>
      </c>
      <c r="K34" t="s">
        <v>195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27">
        <v>19910000000000</v>
      </c>
      <c r="R34">
        <v>77</v>
      </c>
      <c r="S34">
        <v>9.4</v>
      </c>
      <c r="T34">
        <v>59.2</v>
      </c>
      <c r="U34">
        <v>1397715000</v>
      </c>
      <c r="V34">
        <f t="shared" ca="1" si="0"/>
        <v>54.702258726899387</v>
      </c>
      <c r="W34" s="25">
        <f t="shared" ca="1" si="1"/>
        <v>46215</v>
      </c>
      <c r="X34" s="25">
        <f t="shared" si="2"/>
        <v>26235</v>
      </c>
    </row>
    <row r="35" spans="1:24" x14ac:dyDescent="0.25">
      <c r="A35">
        <v>35</v>
      </c>
      <c r="B35" t="s">
        <v>196</v>
      </c>
      <c r="C35" t="s">
        <v>197</v>
      </c>
      <c r="D35" t="s">
        <v>32</v>
      </c>
      <c r="E35" t="s">
        <v>198</v>
      </c>
      <c r="F35" t="s">
        <v>199</v>
      </c>
      <c r="G35" t="s">
        <v>196</v>
      </c>
      <c r="H35" t="b">
        <v>0</v>
      </c>
      <c r="I35" t="s">
        <v>1803</v>
      </c>
      <c r="J35" t="s">
        <v>200</v>
      </c>
      <c r="K35" t="s">
        <v>201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27">
        <v>21427700000000</v>
      </c>
      <c r="R35">
        <v>78.5</v>
      </c>
      <c r="S35">
        <v>9.6</v>
      </c>
      <c r="T35">
        <v>36.6</v>
      </c>
      <c r="U35">
        <v>328239523</v>
      </c>
      <c r="V35">
        <f t="shared" ca="1" si="0"/>
        <v>80.754257095158593</v>
      </c>
      <c r="W35" s="25">
        <f t="shared" ca="1" si="1"/>
        <v>46215</v>
      </c>
      <c r="X35" s="25">
        <f t="shared" si="2"/>
        <v>16720</v>
      </c>
    </row>
    <row r="36" spans="1:24" x14ac:dyDescent="0.25">
      <c r="A36">
        <v>35</v>
      </c>
      <c r="B36" t="s">
        <v>49</v>
      </c>
      <c r="C36" t="s">
        <v>202</v>
      </c>
      <c r="D36" t="s">
        <v>32</v>
      </c>
      <c r="E36" t="s">
        <v>203</v>
      </c>
      <c r="F36" t="s">
        <v>204</v>
      </c>
      <c r="G36" t="s">
        <v>49</v>
      </c>
      <c r="H36" t="b">
        <v>1</v>
      </c>
      <c r="I36" t="s">
        <v>1804</v>
      </c>
      <c r="J36" t="s">
        <v>205</v>
      </c>
      <c r="K36" t="s">
        <v>206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27">
        <v>21427700000000</v>
      </c>
      <c r="R36">
        <v>78.5</v>
      </c>
      <c r="S36">
        <v>9.6</v>
      </c>
      <c r="T36">
        <v>36.6</v>
      </c>
      <c r="U36">
        <v>328239523</v>
      </c>
      <c r="V36">
        <f t="shared" ca="1" si="0"/>
        <v>57.73786542923434</v>
      </c>
      <c r="W36" s="25">
        <f t="shared" ca="1" si="1"/>
        <v>46215</v>
      </c>
      <c r="X36" s="25">
        <f t="shared" si="2"/>
        <v>25126</v>
      </c>
    </row>
    <row r="37" spans="1:24" x14ac:dyDescent="0.25">
      <c r="A37">
        <v>37</v>
      </c>
      <c r="B37" t="s">
        <v>103</v>
      </c>
      <c r="C37" t="s">
        <v>207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1804</v>
      </c>
      <c r="J37" t="s">
        <v>211</v>
      </c>
      <c r="K37" t="s">
        <v>114</v>
      </c>
      <c r="L37">
        <v>34700</v>
      </c>
      <c r="M37">
        <v>1992</v>
      </c>
      <c r="N37">
        <v>5</v>
      </c>
      <c r="O37">
        <v>7</v>
      </c>
      <c r="P37">
        <v>118.06</v>
      </c>
      <c r="Q37" s="27">
        <v>446314739528</v>
      </c>
      <c r="R37">
        <v>81.599999999999994</v>
      </c>
      <c r="S37">
        <v>25.4</v>
      </c>
      <c r="T37">
        <v>51.4</v>
      </c>
      <c r="U37">
        <v>8877067</v>
      </c>
      <c r="V37">
        <f t="shared" ca="1" si="0"/>
        <v>34.178660826032541</v>
      </c>
      <c r="W37" s="25">
        <f t="shared" ca="1" si="1"/>
        <v>46215</v>
      </c>
      <c r="X37" s="25">
        <f t="shared" si="2"/>
        <v>33731</v>
      </c>
    </row>
    <row r="38" spans="1:24" x14ac:dyDescent="0.25">
      <c r="A38">
        <v>38</v>
      </c>
      <c r="B38" t="s">
        <v>30</v>
      </c>
      <c r="C38" t="s">
        <v>213</v>
      </c>
      <c r="D38" t="s">
        <v>105</v>
      </c>
      <c r="E38" t="s">
        <v>214</v>
      </c>
      <c r="F38" t="s">
        <v>215</v>
      </c>
      <c r="G38" t="s">
        <v>30</v>
      </c>
      <c r="H38" t="b">
        <v>1</v>
      </c>
      <c r="I38" t="s">
        <v>1804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>
        <v>125.08</v>
      </c>
      <c r="Q38" s="27">
        <v>19910000000000</v>
      </c>
      <c r="R38">
        <v>77</v>
      </c>
      <c r="S38">
        <v>9.4</v>
      </c>
      <c r="T38">
        <v>59.2</v>
      </c>
      <c r="U38">
        <v>1397715000</v>
      </c>
      <c r="V38">
        <f t="shared" ca="1" si="0"/>
        <v>57.526340634441091</v>
      </c>
      <c r="W38" s="25">
        <f t="shared" ca="1" si="1"/>
        <v>46215</v>
      </c>
      <c r="X38" s="25">
        <f t="shared" si="2"/>
        <v>25204</v>
      </c>
    </row>
    <row r="39" spans="1:24" x14ac:dyDescent="0.25">
      <c r="A39">
        <v>39</v>
      </c>
      <c r="B39" t="s">
        <v>21</v>
      </c>
      <c r="C39" t="s">
        <v>218</v>
      </c>
      <c r="D39" t="s">
        <v>219</v>
      </c>
      <c r="E39" t="s">
        <v>220</v>
      </c>
      <c r="F39" t="s">
        <v>221</v>
      </c>
      <c r="G39" t="s">
        <v>21</v>
      </c>
      <c r="H39" t="b">
        <v>1</v>
      </c>
      <c r="I39" t="s">
        <v>1804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>
        <v>105.48</v>
      </c>
      <c r="Q39" s="27">
        <v>5081769542380</v>
      </c>
      <c r="R39">
        <v>84.2</v>
      </c>
      <c r="S39">
        <v>11.9</v>
      </c>
      <c r="T39">
        <v>46.7</v>
      </c>
      <c r="U39">
        <v>126226568</v>
      </c>
      <c r="V39">
        <f t="shared" ca="1" si="0"/>
        <v>77.425041243988915</v>
      </c>
      <c r="W39" s="25">
        <f t="shared" ca="1" si="1"/>
        <v>46215</v>
      </c>
      <c r="X39" s="25">
        <f t="shared" si="2"/>
        <v>17936</v>
      </c>
    </row>
    <row r="40" spans="1:24" x14ac:dyDescent="0.25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1804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 s="27">
        <v>2827113184696</v>
      </c>
      <c r="R40">
        <v>81.3</v>
      </c>
      <c r="S40">
        <v>25.5</v>
      </c>
      <c r="T40">
        <v>30.6</v>
      </c>
      <c r="U40">
        <v>66834405</v>
      </c>
      <c r="V40">
        <f t="shared" ca="1" si="0"/>
        <v>69.11291899714476</v>
      </c>
      <c r="W40" s="25">
        <f t="shared" ca="1" si="1"/>
        <v>46215</v>
      </c>
      <c r="X40" s="25">
        <f t="shared" si="2"/>
        <v>20972</v>
      </c>
    </row>
    <row r="41" spans="1:24" x14ac:dyDescent="0.25">
      <c r="A41">
        <v>41</v>
      </c>
      <c r="B41" t="s">
        <v>21</v>
      </c>
      <c r="C41" t="s">
        <v>232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1804</v>
      </c>
      <c r="J41" t="s">
        <v>234</v>
      </c>
      <c r="K41" t="s">
        <v>235</v>
      </c>
      <c r="L41">
        <v>31600</v>
      </c>
      <c r="M41">
        <v>1948</v>
      </c>
      <c r="N41">
        <v>8</v>
      </c>
      <c r="O41">
        <v>28</v>
      </c>
      <c r="P41">
        <v>117.24</v>
      </c>
      <c r="Q41" s="27">
        <v>21427700000000</v>
      </c>
      <c r="R41">
        <v>78.5</v>
      </c>
      <c r="S41">
        <v>9.6</v>
      </c>
      <c r="T41">
        <v>36.6</v>
      </c>
      <c r="U41">
        <v>328239523</v>
      </c>
      <c r="V41">
        <f t="shared" ca="1" si="0"/>
        <v>77.869277421590709</v>
      </c>
      <c r="W41" s="25">
        <f t="shared" ca="1" si="1"/>
        <v>46215</v>
      </c>
      <c r="X41" s="25">
        <f t="shared" si="2"/>
        <v>17773</v>
      </c>
    </row>
    <row r="42" spans="1:24" x14ac:dyDescent="0.25">
      <c r="A42">
        <v>41</v>
      </c>
      <c r="B42" t="s">
        <v>21</v>
      </c>
      <c r="C42" t="s">
        <v>236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1804</v>
      </c>
      <c r="J42" t="s">
        <v>234</v>
      </c>
      <c r="K42" t="s">
        <v>237</v>
      </c>
      <c r="L42">
        <v>31600</v>
      </c>
      <c r="M42">
        <v>1951</v>
      </c>
      <c r="N42">
        <v>1</v>
      </c>
      <c r="O42">
        <v>9</v>
      </c>
      <c r="P42">
        <v>117.24</v>
      </c>
      <c r="Q42" s="27">
        <v>21427700000000</v>
      </c>
      <c r="R42">
        <v>78.5</v>
      </c>
      <c r="S42">
        <v>9.6</v>
      </c>
      <c r="T42">
        <v>36.6</v>
      </c>
      <c r="U42">
        <v>328239523</v>
      </c>
      <c r="V42">
        <f t="shared" ca="1" si="0"/>
        <v>75.504449007529089</v>
      </c>
      <c r="W42" s="25">
        <f t="shared" ca="1" si="1"/>
        <v>46215</v>
      </c>
      <c r="X42" s="25">
        <f t="shared" si="2"/>
        <v>18637</v>
      </c>
    </row>
    <row r="43" spans="1:24" x14ac:dyDescent="0.25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1804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>
        <v>99.55</v>
      </c>
      <c r="Q43" s="27">
        <v>703082435360</v>
      </c>
      <c r="R43">
        <v>83.6</v>
      </c>
      <c r="S43">
        <v>10.1</v>
      </c>
      <c r="T43">
        <v>28.8</v>
      </c>
      <c r="U43">
        <v>8574832</v>
      </c>
      <c r="V43">
        <f t="shared" ca="1" si="0"/>
        <v>86.039021934103289</v>
      </c>
      <c r="W43" s="25">
        <f t="shared" ca="1" si="1"/>
        <v>46215</v>
      </c>
      <c r="X43" s="25">
        <f t="shared" si="2"/>
        <v>14789</v>
      </c>
    </row>
    <row r="44" spans="1:24" x14ac:dyDescent="0.25">
      <c r="A44">
        <v>43</v>
      </c>
      <c r="B44" t="s">
        <v>168</v>
      </c>
      <c r="C44" t="s">
        <v>242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1803</v>
      </c>
      <c r="J44" t="s">
        <v>243</v>
      </c>
      <c r="K44" t="s">
        <v>244</v>
      </c>
      <c r="L44">
        <v>31200</v>
      </c>
      <c r="M44">
        <v>1945</v>
      </c>
      <c r="N44">
        <v>3</v>
      </c>
      <c r="O44">
        <v>26</v>
      </c>
      <c r="P44">
        <v>99.55</v>
      </c>
      <c r="Q44" s="27">
        <v>703082435360</v>
      </c>
      <c r="R44">
        <v>83.6</v>
      </c>
      <c r="S44">
        <v>10.1</v>
      </c>
      <c r="T44">
        <v>28.8</v>
      </c>
      <c r="U44">
        <v>8574832</v>
      </c>
      <c r="V44">
        <f t="shared" ca="1" si="0"/>
        <v>81.296360601001666</v>
      </c>
      <c r="W44" s="25">
        <f t="shared" ca="1" si="1"/>
        <v>46215</v>
      </c>
      <c r="X44" s="25">
        <f t="shared" si="2"/>
        <v>16522</v>
      </c>
    </row>
    <row r="45" spans="1:24" x14ac:dyDescent="0.25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247</v>
      </c>
      <c r="G45" t="s">
        <v>38</v>
      </c>
      <c r="H45" t="b">
        <v>1</v>
      </c>
      <c r="I45" t="s">
        <v>1804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>
        <v>125.08</v>
      </c>
      <c r="Q45" s="27">
        <v>19910000000000</v>
      </c>
      <c r="R45">
        <v>77</v>
      </c>
      <c r="S45">
        <v>9.4</v>
      </c>
      <c r="T45">
        <v>59.2</v>
      </c>
      <c r="U45">
        <v>1397715000</v>
      </c>
      <c r="V45">
        <f t="shared" ca="1" si="0"/>
        <v>46.43874876215996</v>
      </c>
      <c r="W45" s="25">
        <f t="shared" ca="1" si="1"/>
        <v>46215</v>
      </c>
      <c r="X45" s="25">
        <f t="shared" si="2"/>
        <v>29253</v>
      </c>
    </row>
    <row r="46" spans="1:24" x14ac:dyDescent="0.25">
      <c r="A46">
        <v>46</v>
      </c>
      <c r="B46" t="s">
        <v>250</v>
      </c>
      <c r="C46" t="s">
        <v>251</v>
      </c>
      <c r="D46" t="s">
        <v>158</v>
      </c>
      <c r="E46" t="s">
        <v>252</v>
      </c>
      <c r="F46" t="s">
        <v>253</v>
      </c>
      <c r="G46" t="s">
        <v>250</v>
      </c>
      <c r="H46" t="b">
        <v>1</v>
      </c>
      <c r="I46" t="s">
        <v>1804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>
        <v>112.85</v>
      </c>
      <c r="Q46" s="27">
        <v>3845630030824</v>
      </c>
      <c r="R46">
        <v>80.900000000000006</v>
      </c>
      <c r="S46">
        <v>11.5</v>
      </c>
      <c r="T46">
        <v>48.8</v>
      </c>
      <c r="U46">
        <v>83132799</v>
      </c>
      <c r="V46">
        <f t="shared" ca="1" si="0"/>
        <v>91.227926078028744</v>
      </c>
      <c r="W46" s="25">
        <f t="shared" ca="1" si="1"/>
        <v>46215</v>
      </c>
      <c r="X46" s="25">
        <f t="shared" si="2"/>
        <v>12894</v>
      </c>
    </row>
    <row r="47" spans="1:24" x14ac:dyDescent="0.25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1804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>
        <v>117.24</v>
      </c>
      <c r="Q47" s="27">
        <v>21427700000000</v>
      </c>
      <c r="R47">
        <v>78.5</v>
      </c>
      <c r="S47">
        <v>9.6</v>
      </c>
      <c r="T47">
        <v>36.6</v>
      </c>
      <c r="U47">
        <v>328239523</v>
      </c>
      <c r="V47">
        <f t="shared" ca="1" si="0"/>
        <v>67.986985159907945</v>
      </c>
      <c r="W47" s="25">
        <f t="shared" ca="1" si="1"/>
        <v>46215</v>
      </c>
      <c r="X47" s="25">
        <f t="shared" si="2"/>
        <v>21383</v>
      </c>
    </row>
    <row r="48" spans="1:24" x14ac:dyDescent="0.25">
      <c r="A48">
        <v>49</v>
      </c>
      <c r="B48" t="s">
        <v>49</v>
      </c>
      <c r="C48" t="s">
        <v>260</v>
      </c>
      <c r="D48" t="s">
        <v>32</v>
      </c>
      <c r="E48" t="s">
        <v>261</v>
      </c>
      <c r="F48" t="s">
        <v>204</v>
      </c>
      <c r="G48" t="s">
        <v>49</v>
      </c>
      <c r="H48" t="b">
        <v>1</v>
      </c>
      <c r="I48" t="s">
        <v>1804</v>
      </c>
      <c r="J48" t="s">
        <v>262</v>
      </c>
      <c r="K48" t="s">
        <v>126</v>
      </c>
      <c r="L48">
        <v>28100</v>
      </c>
      <c r="M48">
        <v>1938</v>
      </c>
      <c r="N48">
        <v>4</v>
      </c>
      <c r="O48">
        <v>25</v>
      </c>
      <c r="P48">
        <v>117.24</v>
      </c>
      <c r="Q48" s="27">
        <v>21427700000000</v>
      </c>
      <c r="R48">
        <v>78.5</v>
      </c>
      <c r="S48">
        <v>9.6</v>
      </c>
      <c r="T48">
        <v>36.6</v>
      </c>
      <c r="U48">
        <v>328239523</v>
      </c>
      <c r="V48">
        <f t="shared" ca="1" si="0"/>
        <v>88.21423078106254</v>
      </c>
      <c r="W48" s="25">
        <f t="shared" ca="1" si="1"/>
        <v>46215</v>
      </c>
      <c r="X48" s="25">
        <f t="shared" si="2"/>
        <v>13995</v>
      </c>
    </row>
    <row r="49" spans="1:24" x14ac:dyDescent="0.25">
      <c r="A49">
        <v>50</v>
      </c>
      <c r="B49" t="s">
        <v>49</v>
      </c>
      <c r="C49" t="s">
        <v>263</v>
      </c>
      <c r="D49" t="s">
        <v>32</v>
      </c>
      <c r="E49" t="s">
        <v>61</v>
      </c>
      <c r="F49" t="s">
        <v>264</v>
      </c>
      <c r="G49" t="s">
        <v>49</v>
      </c>
      <c r="H49" t="b">
        <v>1</v>
      </c>
      <c r="I49" t="s">
        <v>1804</v>
      </c>
      <c r="J49" t="s">
        <v>265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>
        <v>117.24</v>
      </c>
      <c r="Q49" s="27">
        <v>21427700000000</v>
      </c>
      <c r="R49">
        <v>78.5</v>
      </c>
      <c r="S49">
        <v>9.6</v>
      </c>
      <c r="T49">
        <v>36.6</v>
      </c>
      <c r="U49">
        <v>328239523</v>
      </c>
      <c r="V49">
        <f t="shared" ca="1" si="0"/>
        <v>79.405886379192339</v>
      </c>
      <c r="W49" s="25">
        <f t="shared" ca="1" si="1"/>
        <v>46215</v>
      </c>
      <c r="X49" s="25">
        <f t="shared" si="2"/>
        <v>17212</v>
      </c>
    </row>
    <row r="50" spans="1:24" x14ac:dyDescent="0.25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1803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 s="27">
        <v>3845630030824</v>
      </c>
      <c r="R50">
        <v>80.900000000000006</v>
      </c>
      <c r="S50">
        <v>11.5</v>
      </c>
      <c r="T50">
        <v>48.8</v>
      </c>
      <c r="U50">
        <v>83132799</v>
      </c>
      <c r="V50">
        <f t="shared" ca="1" si="0"/>
        <v>64.206014910913609</v>
      </c>
      <c r="W50" s="25">
        <f t="shared" ca="1" si="1"/>
        <v>46215</v>
      </c>
      <c r="X50" s="25">
        <f t="shared" si="2"/>
        <v>22764</v>
      </c>
    </row>
    <row r="51" spans="1:24" x14ac:dyDescent="0.25">
      <c r="A51">
        <v>52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272</v>
      </c>
      <c r="H51" t="b">
        <v>0</v>
      </c>
      <c r="I51" t="s">
        <v>1803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>
        <v>119.8</v>
      </c>
      <c r="Q51" s="27">
        <v>1392680589329</v>
      </c>
      <c r="R51">
        <v>82.7</v>
      </c>
      <c r="S51">
        <v>23</v>
      </c>
      <c r="T51">
        <v>47.4</v>
      </c>
      <c r="U51">
        <v>25766605</v>
      </c>
      <c r="V51">
        <f t="shared" ca="1" si="0"/>
        <v>72.419570190901254</v>
      </c>
      <c r="W51" s="25">
        <f t="shared" ca="1" si="1"/>
        <v>46215</v>
      </c>
      <c r="X51" s="25">
        <f t="shared" si="2"/>
        <v>19764</v>
      </c>
    </row>
    <row r="52" spans="1:24" x14ac:dyDescent="0.25">
      <c r="A52">
        <v>53</v>
      </c>
      <c r="B52" t="s">
        <v>38</v>
      </c>
      <c r="C52" t="s">
        <v>280</v>
      </c>
      <c r="D52" t="s">
        <v>105</v>
      </c>
      <c r="E52" t="s">
        <v>106</v>
      </c>
      <c r="F52" t="s">
        <v>281</v>
      </c>
      <c r="G52" t="s">
        <v>38</v>
      </c>
      <c r="H52" t="b">
        <v>1</v>
      </c>
      <c r="I52" t="s">
        <v>1804</v>
      </c>
      <c r="J52" t="s">
        <v>282</v>
      </c>
      <c r="K52" t="s">
        <v>283</v>
      </c>
      <c r="L52">
        <v>26700</v>
      </c>
      <c r="M52">
        <v>1971</v>
      </c>
      <c r="N52">
        <v>10</v>
      </c>
      <c r="O52">
        <v>1</v>
      </c>
      <c r="P52">
        <v>125.08</v>
      </c>
      <c r="Q52" s="27">
        <v>19910000000000</v>
      </c>
      <c r="R52">
        <v>77</v>
      </c>
      <c r="S52">
        <v>9.4</v>
      </c>
      <c r="T52">
        <v>59.2</v>
      </c>
      <c r="U52">
        <v>1397715000</v>
      </c>
      <c r="V52">
        <f t="shared" ca="1" si="0"/>
        <v>54.778918548939082</v>
      </c>
      <c r="W52" s="25">
        <f t="shared" ca="1" si="1"/>
        <v>46215</v>
      </c>
      <c r="X52" s="25">
        <f t="shared" si="2"/>
        <v>26207</v>
      </c>
    </row>
    <row r="53" spans="1:24" x14ac:dyDescent="0.25">
      <c r="A53">
        <v>54</v>
      </c>
      <c r="B53" t="s">
        <v>272</v>
      </c>
      <c r="C53" t="s">
        <v>284</v>
      </c>
      <c r="D53" t="s">
        <v>67</v>
      </c>
      <c r="E53" t="s">
        <v>68</v>
      </c>
      <c r="F53" t="s">
        <v>276</v>
      </c>
      <c r="G53" t="s">
        <v>272</v>
      </c>
      <c r="H53" t="b">
        <v>0</v>
      </c>
      <c r="I53" t="s">
        <v>1804</v>
      </c>
      <c r="J53" t="s">
        <v>285</v>
      </c>
      <c r="K53" t="s">
        <v>286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27">
        <v>1258286717125</v>
      </c>
      <c r="R53">
        <v>75</v>
      </c>
      <c r="S53">
        <v>13.1</v>
      </c>
      <c r="T53">
        <v>55.1</v>
      </c>
      <c r="U53">
        <v>126014024</v>
      </c>
      <c r="V53">
        <f t="shared" ca="1" si="0"/>
        <v>72.710448423856747</v>
      </c>
      <c r="W53" s="25">
        <f t="shared" ca="1" si="1"/>
        <v>46215</v>
      </c>
      <c r="X53" s="25">
        <f t="shared" si="2"/>
        <v>19658</v>
      </c>
    </row>
    <row r="54" spans="1:24" x14ac:dyDescent="0.25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289</v>
      </c>
      <c r="G54" t="s">
        <v>38</v>
      </c>
      <c r="H54" t="b">
        <v>1</v>
      </c>
      <c r="I54" t="s">
        <v>1804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>
        <v>180.44</v>
      </c>
      <c r="Q54" s="27">
        <v>2611000000000</v>
      </c>
      <c r="R54">
        <v>69.400000000000006</v>
      </c>
      <c r="S54">
        <v>11.2</v>
      </c>
      <c r="T54">
        <v>49.7</v>
      </c>
      <c r="U54">
        <v>1366417754</v>
      </c>
      <c r="V54">
        <f t="shared" ca="1" si="0"/>
        <v>80.984240400667773</v>
      </c>
      <c r="W54" s="25">
        <f t="shared" ca="1" si="1"/>
        <v>46215</v>
      </c>
      <c r="X54" s="25">
        <f t="shared" si="2"/>
        <v>16636</v>
      </c>
    </row>
    <row r="55" spans="1:24" x14ac:dyDescent="0.25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1804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>
        <v>151.18</v>
      </c>
      <c r="Q55" s="27">
        <v>1119190780753</v>
      </c>
      <c r="R55">
        <v>71.5</v>
      </c>
      <c r="S55">
        <v>10.199999999999999</v>
      </c>
      <c r="T55">
        <v>30.1</v>
      </c>
      <c r="U55">
        <v>270203917</v>
      </c>
      <c r="V55">
        <f t="shared" ca="1" si="0"/>
        <v>78.233408421417437</v>
      </c>
      <c r="W55" s="25">
        <f t="shared" ca="1" si="1"/>
        <v>46215</v>
      </c>
      <c r="X55" s="25">
        <f t="shared" si="2"/>
        <v>17640</v>
      </c>
    </row>
    <row r="56" spans="1:24" x14ac:dyDescent="0.25">
      <c r="A56">
        <v>57</v>
      </c>
      <c r="B56" t="s">
        <v>49</v>
      </c>
      <c r="C56" t="s">
        <v>300</v>
      </c>
      <c r="D56" t="s">
        <v>32</v>
      </c>
      <c r="E56" t="s">
        <v>301</v>
      </c>
      <c r="F56" t="s">
        <v>302</v>
      </c>
      <c r="G56" t="s">
        <v>49</v>
      </c>
      <c r="H56" t="b">
        <v>1</v>
      </c>
      <c r="I56" t="s">
        <v>1804</v>
      </c>
      <c r="J56" t="s">
        <v>303</v>
      </c>
      <c r="K56" t="s">
        <v>304</v>
      </c>
      <c r="L56">
        <v>25300</v>
      </c>
      <c r="M56">
        <v>1944</v>
      </c>
      <c r="N56">
        <v>9</v>
      </c>
      <c r="O56">
        <v>30</v>
      </c>
      <c r="P56">
        <v>117.24</v>
      </c>
      <c r="Q56" s="27">
        <v>21427700000000</v>
      </c>
      <c r="R56">
        <v>78.5</v>
      </c>
      <c r="S56">
        <v>9.6</v>
      </c>
      <c r="T56">
        <v>36.6</v>
      </c>
      <c r="U56">
        <v>328239523</v>
      </c>
      <c r="V56">
        <f t="shared" ca="1" si="0"/>
        <v>81.778928618551262</v>
      </c>
      <c r="W56" s="25">
        <f t="shared" ca="1" si="1"/>
        <v>46215</v>
      </c>
      <c r="X56" s="25">
        <f t="shared" si="2"/>
        <v>16345</v>
      </c>
    </row>
    <row r="57" spans="1:24" x14ac:dyDescent="0.25">
      <c r="A57">
        <v>58</v>
      </c>
      <c r="B57" t="s">
        <v>272</v>
      </c>
      <c r="C57" t="s">
        <v>305</v>
      </c>
      <c r="D57" t="s">
        <v>306</v>
      </c>
      <c r="E57" t="s">
        <v>307</v>
      </c>
      <c r="F57" t="s">
        <v>308</v>
      </c>
      <c r="G57" t="s">
        <v>272</v>
      </c>
      <c r="H57" t="b">
        <v>1</v>
      </c>
      <c r="I57" t="s">
        <v>1804</v>
      </c>
      <c r="J57" t="s">
        <v>309</v>
      </c>
      <c r="K57" t="s">
        <v>310</v>
      </c>
      <c r="L57">
        <v>25200</v>
      </c>
      <c r="M57">
        <v>1972</v>
      </c>
      <c r="N57">
        <v>3</v>
      </c>
      <c r="O57">
        <v>8</v>
      </c>
      <c r="P57">
        <v>114.52</v>
      </c>
      <c r="Q57" s="27">
        <v>421142267938</v>
      </c>
      <c r="R57">
        <v>77.8</v>
      </c>
      <c r="S57">
        <v>0.1</v>
      </c>
      <c r="T57">
        <v>15.9</v>
      </c>
      <c r="U57">
        <v>9770529</v>
      </c>
      <c r="V57">
        <f t="shared" ca="1" si="0"/>
        <v>54.342923988252281</v>
      </c>
      <c r="W57" s="25">
        <f t="shared" ca="1" si="1"/>
        <v>46215</v>
      </c>
      <c r="X57" s="25">
        <f t="shared" si="2"/>
        <v>26366</v>
      </c>
    </row>
    <row r="58" spans="1:24" x14ac:dyDescent="0.25">
      <c r="A58">
        <v>59</v>
      </c>
      <c r="B58" t="s">
        <v>30</v>
      </c>
      <c r="C58" t="s">
        <v>312</v>
      </c>
      <c r="D58" t="s">
        <v>158</v>
      </c>
      <c r="E58" t="s">
        <v>313</v>
      </c>
      <c r="F58" t="s">
        <v>314</v>
      </c>
      <c r="G58" t="s">
        <v>30</v>
      </c>
      <c r="H58" t="b">
        <v>0</v>
      </c>
      <c r="I58" t="s">
        <v>1804</v>
      </c>
      <c r="J58" t="s">
        <v>315</v>
      </c>
      <c r="K58" t="s">
        <v>316</v>
      </c>
      <c r="L58">
        <v>24600</v>
      </c>
      <c r="M58">
        <v>1966</v>
      </c>
      <c r="N58">
        <v>5</v>
      </c>
      <c r="O58">
        <v>9</v>
      </c>
      <c r="P58">
        <v>112.85</v>
      </c>
      <c r="Q58" s="27">
        <v>3845630030824</v>
      </c>
      <c r="R58">
        <v>80.900000000000006</v>
      </c>
      <c r="S58">
        <v>11.5</v>
      </c>
      <c r="T58">
        <v>48.8</v>
      </c>
      <c r="U58">
        <v>83132799</v>
      </c>
      <c r="V58">
        <f t="shared" ca="1" si="0"/>
        <v>60.175897666068224</v>
      </c>
      <c r="W58" s="25">
        <f t="shared" ca="1" si="1"/>
        <v>46215</v>
      </c>
      <c r="X58" s="25">
        <f t="shared" si="2"/>
        <v>24236</v>
      </c>
    </row>
    <row r="59" spans="1:24" x14ac:dyDescent="0.25">
      <c r="A59">
        <v>60</v>
      </c>
      <c r="B59" t="s">
        <v>38</v>
      </c>
      <c r="C59" t="s">
        <v>317</v>
      </c>
      <c r="D59" t="s">
        <v>32</v>
      </c>
      <c r="E59" t="s">
        <v>318</v>
      </c>
      <c r="F59" t="s">
        <v>41</v>
      </c>
      <c r="G59" t="s">
        <v>38</v>
      </c>
      <c r="H59" t="b">
        <v>0</v>
      </c>
      <c r="I59" t="s">
        <v>1803</v>
      </c>
      <c r="J59" t="s">
        <v>319</v>
      </c>
      <c r="K59" t="s">
        <v>320</v>
      </c>
      <c r="L59">
        <v>24400</v>
      </c>
      <c r="M59">
        <v>1970</v>
      </c>
      <c r="N59">
        <v>4</v>
      </c>
      <c r="O59">
        <v>7</v>
      </c>
      <c r="P59">
        <v>117.24</v>
      </c>
      <c r="Q59" s="27">
        <v>21427700000000</v>
      </c>
      <c r="R59">
        <v>78.5</v>
      </c>
      <c r="S59">
        <v>9.6</v>
      </c>
      <c r="T59">
        <v>36.6</v>
      </c>
      <c r="U59">
        <v>328239523</v>
      </c>
      <c r="V59">
        <f t="shared" ca="1" si="0"/>
        <v>56.263509294394545</v>
      </c>
      <c r="W59" s="25">
        <f t="shared" ca="1" si="1"/>
        <v>46215</v>
      </c>
      <c r="X59" s="25">
        <f t="shared" si="2"/>
        <v>25665</v>
      </c>
    </row>
    <row r="60" spans="1:24" x14ac:dyDescent="0.25">
      <c r="A60">
        <v>61</v>
      </c>
      <c r="B60" t="s">
        <v>49</v>
      </c>
      <c r="C60" t="s">
        <v>321</v>
      </c>
      <c r="D60" t="s">
        <v>294</v>
      </c>
      <c r="E60" t="s">
        <v>322</v>
      </c>
      <c r="F60" t="s">
        <v>323</v>
      </c>
      <c r="G60" t="s">
        <v>49</v>
      </c>
      <c r="H60" t="b">
        <v>0</v>
      </c>
      <c r="I60" t="s">
        <v>1804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>
        <v>151.18</v>
      </c>
      <c r="Q60" s="27">
        <v>1119190780753</v>
      </c>
      <c r="R60">
        <v>71.5</v>
      </c>
      <c r="S60">
        <v>10.199999999999999</v>
      </c>
      <c r="T60">
        <v>30.1</v>
      </c>
      <c r="U60">
        <v>270203917</v>
      </c>
      <c r="V60">
        <f t="shared" ca="1" si="0"/>
        <v>85.526344274298808</v>
      </c>
      <c r="W60" s="25">
        <f t="shared" ca="1" si="1"/>
        <v>46215</v>
      </c>
      <c r="X60" s="25">
        <f t="shared" si="2"/>
        <v>14977</v>
      </c>
    </row>
    <row r="61" spans="1:24" x14ac:dyDescent="0.25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1804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>
        <v>180.75</v>
      </c>
      <c r="Q61" s="27">
        <v>1699876578871</v>
      </c>
      <c r="R61">
        <v>72.7</v>
      </c>
      <c r="S61">
        <v>11.4</v>
      </c>
      <c r="T61">
        <v>46.2</v>
      </c>
      <c r="U61">
        <v>144373535</v>
      </c>
      <c r="V61">
        <f t="shared" ca="1" si="0"/>
        <v>65.520866174396417</v>
      </c>
      <c r="W61" s="25">
        <f t="shared" ca="1" si="1"/>
        <v>46215</v>
      </c>
      <c r="X61" s="25">
        <f t="shared" si="2"/>
        <v>22284</v>
      </c>
    </row>
    <row r="62" spans="1:24" x14ac:dyDescent="0.25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1804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 s="27">
        <v>19910000000000</v>
      </c>
      <c r="R62">
        <v>77</v>
      </c>
      <c r="S62">
        <v>9.4</v>
      </c>
      <c r="T62">
        <v>59.2</v>
      </c>
      <c r="U62">
        <v>1397715000</v>
      </c>
      <c r="V62">
        <f t="shared" ca="1" si="0"/>
        <v>61.833688236061015</v>
      </c>
      <c r="W62" s="25">
        <f t="shared" ca="1" si="1"/>
        <v>46215</v>
      </c>
      <c r="X62" s="25">
        <f t="shared" si="2"/>
        <v>23630</v>
      </c>
    </row>
    <row r="63" spans="1:24" x14ac:dyDescent="0.25">
      <c r="A63">
        <v>64</v>
      </c>
      <c r="B63" t="s">
        <v>250</v>
      </c>
      <c r="C63" t="s">
        <v>335</v>
      </c>
      <c r="D63" t="s">
        <v>105</v>
      </c>
      <c r="E63" t="s">
        <v>336</v>
      </c>
      <c r="F63" t="s">
        <v>337</v>
      </c>
      <c r="G63" t="s">
        <v>250</v>
      </c>
      <c r="H63" t="b">
        <v>1</v>
      </c>
      <c r="I63" t="s">
        <v>1804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>
        <v>125.08</v>
      </c>
      <c r="Q63" s="27">
        <v>19910000000000</v>
      </c>
      <c r="R63">
        <v>77</v>
      </c>
      <c r="S63">
        <v>9.4</v>
      </c>
      <c r="T63">
        <v>59.2</v>
      </c>
      <c r="U63">
        <v>1397715000</v>
      </c>
      <c r="V63">
        <f t="shared" ca="1" si="0"/>
        <v>83.918540230625524</v>
      </c>
      <c r="W63" s="25">
        <f t="shared" ca="1" si="1"/>
        <v>46215</v>
      </c>
      <c r="X63" s="25">
        <f t="shared" si="2"/>
        <v>15564</v>
      </c>
    </row>
    <row r="64" spans="1:24" x14ac:dyDescent="0.25">
      <c r="A64">
        <v>65</v>
      </c>
      <c r="B64" t="s">
        <v>272</v>
      </c>
      <c r="C64" t="s">
        <v>340</v>
      </c>
      <c r="D64" t="s">
        <v>341</v>
      </c>
      <c r="E64" t="s">
        <v>342</v>
      </c>
      <c r="F64" t="s">
        <v>276</v>
      </c>
      <c r="G64" t="s">
        <v>272</v>
      </c>
      <c r="H64" t="b">
        <v>0</v>
      </c>
      <c r="I64" t="s">
        <v>1803</v>
      </c>
      <c r="J64" t="s">
        <v>343</v>
      </c>
      <c r="K64" t="s">
        <v>344</v>
      </c>
      <c r="L64">
        <v>23100</v>
      </c>
      <c r="M64">
        <v>1943</v>
      </c>
      <c r="N64">
        <v>1</v>
      </c>
      <c r="O64">
        <v>1</v>
      </c>
      <c r="P64">
        <v>131.91</v>
      </c>
      <c r="Q64" s="27">
        <v>282318159745</v>
      </c>
      <c r="R64">
        <v>80</v>
      </c>
      <c r="S64">
        <v>18.2</v>
      </c>
      <c r="T64">
        <v>34</v>
      </c>
      <c r="U64">
        <v>18952038</v>
      </c>
      <c r="V64">
        <f t="shared" ca="1" si="0"/>
        <v>83.526351813826153</v>
      </c>
      <c r="W64" s="25">
        <f t="shared" ca="1" si="1"/>
        <v>46215</v>
      </c>
      <c r="X64" s="25">
        <f t="shared" si="2"/>
        <v>15707</v>
      </c>
    </row>
    <row r="65" spans="1:24" x14ac:dyDescent="0.25">
      <c r="A65">
        <v>65</v>
      </c>
      <c r="B65" t="s">
        <v>250</v>
      </c>
      <c r="C65" t="s">
        <v>346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1804</v>
      </c>
      <c r="J65" t="s">
        <v>324</v>
      </c>
      <c r="K65" t="s">
        <v>64</v>
      </c>
      <c r="L65">
        <v>23100</v>
      </c>
      <c r="M65">
        <v>1939</v>
      </c>
      <c r="N65">
        <v>10</v>
      </c>
      <c r="O65">
        <v>2</v>
      </c>
      <c r="P65">
        <v>151.18</v>
      </c>
      <c r="Q65" s="27">
        <v>1119190780753</v>
      </c>
      <c r="R65">
        <v>71.5</v>
      </c>
      <c r="S65">
        <v>10.199999999999999</v>
      </c>
      <c r="T65">
        <v>30.1</v>
      </c>
      <c r="U65">
        <v>270203917</v>
      </c>
      <c r="V65">
        <f t="shared" ca="1" si="0"/>
        <v>86.776180698151947</v>
      </c>
      <c r="W65" s="25">
        <f t="shared" ca="1" si="1"/>
        <v>46215</v>
      </c>
      <c r="X65" s="25">
        <f t="shared" si="2"/>
        <v>14520</v>
      </c>
    </row>
    <row r="66" spans="1:24" x14ac:dyDescent="0.25">
      <c r="A66">
        <v>67</v>
      </c>
      <c r="B66" t="s">
        <v>250</v>
      </c>
      <c r="C66" t="s">
        <v>347</v>
      </c>
      <c r="D66" t="s">
        <v>226</v>
      </c>
      <c r="E66" t="s">
        <v>227</v>
      </c>
      <c r="F66" t="s">
        <v>348</v>
      </c>
      <c r="G66" t="s">
        <v>250</v>
      </c>
      <c r="H66" t="b">
        <v>1</v>
      </c>
      <c r="I66" t="s">
        <v>1804</v>
      </c>
      <c r="J66" t="s">
        <v>349</v>
      </c>
      <c r="K66" t="s">
        <v>350</v>
      </c>
      <c r="L66">
        <v>22900</v>
      </c>
      <c r="M66">
        <v>1953</v>
      </c>
      <c r="N66">
        <v>1</v>
      </c>
      <c r="O66">
        <v>1</v>
      </c>
      <c r="P66">
        <v>119.62</v>
      </c>
      <c r="Q66" s="27">
        <v>2827113184696</v>
      </c>
      <c r="R66">
        <v>81.3</v>
      </c>
      <c r="S66">
        <v>25.5</v>
      </c>
      <c r="T66">
        <v>30.6</v>
      </c>
      <c r="U66">
        <v>66834405</v>
      </c>
      <c r="V66">
        <f t="shared" ref="V66:V129" ca="1" si="3">YEARFRAC(X66,W66,1)</f>
        <v>73.526343051650144</v>
      </c>
      <c r="W66" s="25">
        <f t="shared" ca="1" si="1"/>
        <v>46215</v>
      </c>
      <c r="X66" s="25">
        <f t="shared" si="2"/>
        <v>19360</v>
      </c>
    </row>
    <row r="67" spans="1:24" x14ac:dyDescent="0.25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1804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>
        <v>180.44</v>
      </c>
      <c r="Q67" s="27">
        <v>2611000000000</v>
      </c>
      <c r="R67">
        <v>69.400000000000006</v>
      </c>
      <c r="S67">
        <v>11.2</v>
      </c>
      <c r="T67">
        <v>49.7</v>
      </c>
      <c r="U67">
        <v>1366417754</v>
      </c>
      <c r="V67">
        <f t="shared" ca="1" si="3"/>
        <v>85.170418006430864</v>
      </c>
      <c r="W67" s="25">
        <f t="shared" ref="W67:W130" ca="1" si="4">TODAY()</f>
        <v>46215</v>
      </c>
      <c r="X67" s="25">
        <f t="shared" ref="X67:X130" si="5">DATE(M67,N67,O67)</f>
        <v>15107</v>
      </c>
    </row>
    <row r="68" spans="1:24" x14ac:dyDescent="0.25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1804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>
        <v>105.48</v>
      </c>
      <c r="Q68" s="27">
        <v>5081769542380</v>
      </c>
      <c r="R68">
        <v>84.2</v>
      </c>
      <c r="S68">
        <v>11.9</v>
      </c>
      <c r="T68">
        <v>46.7</v>
      </c>
      <c r="U68">
        <v>126226568</v>
      </c>
      <c r="V68">
        <f t="shared" ca="1" si="3"/>
        <v>68.918527789728955</v>
      </c>
      <c r="W68" s="25">
        <f t="shared" ca="1" si="4"/>
        <v>46215</v>
      </c>
      <c r="X68" s="25">
        <f t="shared" si="5"/>
        <v>21043</v>
      </c>
    </row>
    <row r="69" spans="1:24" x14ac:dyDescent="0.25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1804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>
        <v>180.75</v>
      </c>
      <c r="Q69" s="27">
        <v>1699876578871</v>
      </c>
      <c r="R69">
        <v>72.7</v>
      </c>
      <c r="S69">
        <v>11.4</v>
      </c>
      <c r="T69">
        <v>46.2</v>
      </c>
      <c r="U69">
        <v>144373535</v>
      </c>
      <c r="V69">
        <f t="shared" ca="1" si="3"/>
        <v>70.178652681911075</v>
      </c>
      <c r="W69" s="25">
        <f t="shared" ca="1" si="4"/>
        <v>46215</v>
      </c>
      <c r="X69" s="25">
        <f t="shared" si="5"/>
        <v>20582</v>
      </c>
    </row>
    <row r="70" spans="1:24" x14ac:dyDescent="0.25">
      <c r="A70">
        <v>71</v>
      </c>
      <c r="B70" t="s">
        <v>103</v>
      </c>
      <c r="C70" t="s">
        <v>364</v>
      </c>
      <c r="D70" t="s">
        <v>23</v>
      </c>
      <c r="E70" t="s">
        <v>365</v>
      </c>
      <c r="F70" t="s">
        <v>366</v>
      </c>
      <c r="G70" t="s">
        <v>103</v>
      </c>
      <c r="H70" t="b">
        <v>0</v>
      </c>
      <c r="I70" t="s">
        <v>1804</v>
      </c>
      <c r="J70" t="s">
        <v>367</v>
      </c>
      <c r="K70" t="s">
        <v>368</v>
      </c>
      <c r="L70">
        <v>22000</v>
      </c>
      <c r="M70">
        <v>1970</v>
      </c>
      <c r="N70">
        <v>9</v>
      </c>
      <c r="O70">
        <v>18</v>
      </c>
      <c r="P70">
        <v>110.05</v>
      </c>
      <c r="Q70" s="27">
        <v>2715518274227</v>
      </c>
      <c r="R70">
        <v>82.5</v>
      </c>
      <c r="S70">
        <v>24.2</v>
      </c>
      <c r="T70">
        <v>60.7</v>
      </c>
      <c r="U70">
        <v>67059887</v>
      </c>
      <c r="V70">
        <f t="shared" ca="1" si="3"/>
        <v>55.814496373504973</v>
      </c>
      <c r="W70" s="25">
        <f t="shared" ca="1" si="4"/>
        <v>46215</v>
      </c>
      <c r="X70" s="25">
        <f t="shared" si="5"/>
        <v>25829</v>
      </c>
    </row>
    <row r="71" spans="1:24" x14ac:dyDescent="0.25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1803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27">
        <v>21427700000000</v>
      </c>
      <c r="R71">
        <v>78.5</v>
      </c>
      <c r="S71">
        <v>9.6</v>
      </c>
      <c r="T71">
        <v>36.6</v>
      </c>
      <c r="U71">
        <v>328239523</v>
      </c>
      <c r="V71">
        <f t="shared" ca="1" si="3"/>
        <v>64.562598523189251</v>
      </c>
      <c r="W71" s="25">
        <f t="shared" ca="1" si="4"/>
        <v>46215</v>
      </c>
      <c r="X71" s="25">
        <f t="shared" si="5"/>
        <v>22634</v>
      </c>
    </row>
    <row r="72" spans="1:24" x14ac:dyDescent="0.25">
      <c r="A72">
        <v>72</v>
      </c>
      <c r="B72" t="s">
        <v>292</v>
      </c>
      <c r="C72" t="s">
        <v>374</v>
      </c>
      <c r="D72" t="s">
        <v>327</v>
      </c>
      <c r="E72" t="s">
        <v>328</v>
      </c>
      <c r="F72" t="s">
        <v>375</v>
      </c>
      <c r="G72" t="s">
        <v>292</v>
      </c>
      <c r="H72" t="b">
        <v>1</v>
      </c>
      <c r="I72" t="s">
        <v>1804</v>
      </c>
      <c r="J72" t="s">
        <v>376</v>
      </c>
      <c r="K72" t="s">
        <v>377</v>
      </c>
      <c r="L72">
        <v>21600</v>
      </c>
      <c r="M72">
        <v>1955</v>
      </c>
      <c r="N72">
        <v>8</v>
      </c>
      <c r="O72">
        <v>11</v>
      </c>
      <c r="P72">
        <v>180.75</v>
      </c>
      <c r="Q72" s="27">
        <v>1699876578871</v>
      </c>
      <c r="R72">
        <v>72.7</v>
      </c>
      <c r="S72">
        <v>11.4</v>
      </c>
      <c r="T72">
        <v>46.2</v>
      </c>
      <c r="U72">
        <v>144373535</v>
      </c>
      <c r="V72">
        <f t="shared" ca="1" si="3"/>
        <v>70.918548939082825</v>
      </c>
      <c r="W72" s="25">
        <f t="shared" ca="1" si="4"/>
        <v>46215</v>
      </c>
      <c r="X72" s="25">
        <f t="shared" si="5"/>
        <v>20312</v>
      </c>
    </row>
    <row r="73" spans="1:24" x14ac:dyDescent="0.25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124</v>
      </c>
      <c r="G73" t="s">
        <v>21</v>
      </c>
      <c r="H73" t="b">
        <v>0</v>
      </c>
      <c r="I73" t="s">
        <v>1804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>
        <v>117.24</v>
      </c>
      <c r="Q73" s="27">
        <v>21427700000000</v>
      </c>
      <c r="R73">
        <v>78.5</v>
      </c>
      <c r="S73">
        <v>9.6</v>
      </c>
      <c r="T73">
        <v>36.6</v>
      </c>
      <c r="U73">
        <v>328239523</v>
      </c>
      <c r="V73">
        <f t="shared" ca="1" si="3"/>
        <v>39.811752921535891</v>
      </c>
      <c r="W73" s="25">
        <f t="shared" ca="1" si="4"/>
        <v>46215</v>
      </c>
      <c r="X73" s="25">
        <f t="shared" si="5"/>
        <v>31674</v>
      </c>
    </row>
    <row r="74" spans="1:24" x14ac:dyDescent="0.25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1804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>
        <v>125.08</v>
      </c>
      <c r="Q74" s="27">
        <v>19910000000000</v>
      </c>
      <c r="R74">
        <v>77</v>
      </c>
      <c r="S74">
        <v>9.4</v>
      </c>
      <c r="T74">
        <v>59.2</v>
      </c>
      <c r="U74">
        <v>1397715000</v>
      </c>
      <c r="V74">
        <f t="shared" ca="1" si="3"/>
        <v>55.778903885873483</v>
      </c>
      <c r="W74" s="25">
        <f t="shared" ca="1" si="4"/>
        <v>46215</v>
      </c>
      <c r="X74" s="25">
        <f t="shared" si="5"/>
        <v>25842</v>
      </c>
    </row>
    <row r="75" spans="1:24" x14ac:dyDescent="0.25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1804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 s="27">
        <v>21427700000000</v>
      </c>
      <c r="R75">
        <v>78.5</v>
      </c>
      <c r="S75">
        <v>9.6</v>
      </c>
      <c r="T75">
        <v>36.6</v>
      </c>
      <c r="U75">
        <v>328239523</v>
      </c>
      <c r="V75">
        <f t="shared" ca="1" si="3"/>
        <v>63.397672826830934</v>
      </c>
      <c r="W75" s="25">
        <f t="shared" ca="1" si="4"/>
        <v>46215</v>
      </c>
      <c r="X75" s="25">
        <f t="shared" si="5"/>
        <v>23059</v>
      </c>
    </row>
    <row r="76" spans="1:24" x14ac:dyDescent="0.25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1804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>
        <v>117.24</v>
      </c>
      <c r="Q76" s="27">
        <v>21427700000000</v>
      </c>
      <c r="R76">
        <v>78.5</v>
      </c>
      <c r="S76">
        <v>9.6</v>
      </c>
      <c r="T76">
        <v>36.6</v>
      </c>
      <c r="U76">
        <v>328239523</v>
      </c>
      <c r="V76">
        <f t="shared" ca="1" si="3"/>
        <v>93.315527335216842</v>
      </c>
      <c r="W76" s="25">
        <f t="shared" ca="1" si="4"/>
        <v>46215</v>
      </c>
      <c r="X76" s="25">
        <f t="shared" si="5"/>
        <v>12132</v>
      </c>
    </row>
    <row r="77" spans="1:24" x14ac:dyDescent="0.25">
      <c r="A77">
        <v>77</v>
      </c>
      <c r="B77" t="s">
        <v>250</v>
      </c>
      <c r="C77" t="s">
        <v>393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1804</v>
      </c>
      <c r="J77" t="s">
        <v>396</v>
      </c>
      <c r="K77" t="s">
        <v>397</v>
      </c>
      <c r="L77">
        <v>21000</v>
      </c>
      <c r="M77">
        <v>1945</v>
      </c>
      <c r="N77">
        <v>6</v>
      </c>
      <c r="O77">
        <v>10</v>
      </c>
      <c r="P77">
        <v>105.48</v>
      </c>
      <c r="Q77" s="27">
        <v>5081769542380</v>
      </c>
      <c r="R77">
        <v>84.2</v>
      </c>
      <c r="S77">
        <v>11.9</v>
      </c>
      <c r="T77">
        <v>46.7</v>
      </c>
      <c r="U77">
        <v>126226568</v>
      </c>
      <c r="V77">
        <f t="shared" ca="1" si="3"/>
        <v>81.088280467445742</v>
      </c>
      <c r="W77" s="25">
        <f t="shared" ca="1" si="4"/>
        <v>46215</v>
      </c>
      <c r="X77" s="25">
        <f t="shared" si="5"/>
        <v>16598</v>
      </c>
    </row>
    <row r="78" spans="1:24" x14ac:dyDescent="0.25">
      <c r="A78">
        <v>79</v>
      </c>
      <c r="B78" t="s">
        <v>272</v>
      </c>
      <c r="C78" t="s">
        <v>398</v>
      </c>
      <c r="D78" t="s">
        <v>327</v>
      </c>
      <c r="E78" t="s">
        <v>328</v>
      </c>
      <c r="F78" t="s">
        <v>399</v>
      </c>
      <c r="G78" t="s">
        <v>272</v>
      </c>
      <c r="H78" t="b">
        <v>1</v>
      </c>
      <c r="I78" t="s">
        <v>1804</v>
      </c>
      <c r="J78" t="s">
        <v>400</v>
      </c>
      <c r="K78" t="s">
        <v>401</v>
      </c>
      <c r="L78">
        <v>20900</v>
      </c>
      <c r="M78">
        <v>1965</v>
      </c>
      <c r="N78">
        <v>9</v>
      </c>
      <c r="O78">
        <v>26</v>
      </c>
      <c r="P78">
        <v>180.75</v>
      </c>
      <c r="Q78" s="27">
        <v>1699876578871</v>
      </c>
      <c r="R78">
        <v>72.7</v>
      </c>
      <c r="S78">
        <v>11.4</v>
      </c>
      <c r="T78">
        <v>46.2</v>
      </c>
      <c r="U78">
        <v>144373535</v>
      </c>
      <c r="V78">
        <f t="shared" ca="1" si="3"/>
        <v>60.792581143740335</v>
      </c>
      <c r="W78" s="25">
        <f t="shared" ca="1" si="4"/>
        <v>46215</v>
      </c>
      <c r="X78" s="25">
        <f t="shared" si="5"/>
        <v>24011</v>
      </c>
    </row>
    <row r="79" spans="1:24" x14ac:dyDescent="0.25">
      <c r="A79">
        <v>80</v>
      </c>
      <c r="B79" t="s">
        <v>292</v>
      </c>
      <c r="C79" t="s">
        <v>402</v>
      </c>
      <c r="D79" t="s">
        <v>327</v>
      </c>
      <c r="E79" t="s">
        <v>328</v>
      </c>
      <c r="F79" t="s">
        <v>403</v>
      </c>
      <c r="G79" t="s">
        <v>292</v>
      </c>
      <c r="H79" t="b">
        <v>1</v>
      </c>
      <c r="I79" t="s">
        <v>1804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>
        <v>180.75</v>
      </c>
      <c r="Q79" s="27">
        <v>1699876578871</v>
      </c>
      <c r="R79">
        <v>72.7</v>
      </c>
      <c r="S79">
        <v>11.4</v>
      </c>
      <c r="T79">
        <v>46.2</v>
      </c>
      <c r="U79">
        <v>144373535</v>
      </c>
      <c r="V79">
        <f t="shared" ca="1" si="3"/>
        <v>75.861043948229266</v>
      </c>
      <c r="W79" s="25">
        <f t="shared" ca="1" si="4"/>
        <v>46215</v>
      </c>
      <c r="X79" s="25">
        <f t="shared" si="5"/>
        <v>18507</v>
      </c>
    </row>
    <row r="80" spans="1:24" x14ac:dyDescent="0.25">
      <c r="A80">
        <v>81</v>
      </c>
      <c r="B80" t="s">
        <v>351</v>
      </c>
      <c r="C80" t="s">
        <v>406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1804</v>
      </c>
      <c r="J80" t="s">
        <v>409</v>
      </c>
      <c r="K80" t="s">
        <v>304</v>
      </c>
      <c r="L80">
        <v>20200</v>
      </c>
      <c r="M80">
        <v>1938</v>
      </c>
      <c r="N80">
        <v>8</v>
      </c>
      <c r="O80">
        <v>12</v>
      </c>
      <c r="P80">
        <v>117.24</v>
      </c>
      <c r="Q80" s="27">
        <v>21427700000000</v>
      </c>
      <c r="R80">
        <v>78.5</v>
      </c>
      <c r="S80">
        <v>9.6</v>
      </c>
      <c r="T80">
        <v>36.6</v>
      </c>
      <c r="U80">
        <v>328239523</v>
      </c>
      <c r="V80">
        <f t="shared" ca="1" si="3"/>
        <v>87.915802750176894</v>
      </c>
      <c r="W80" s="25">
        <f t="shared" ca="1" si="4"/>
        <v>46215</v>
      </c>
      <c r="X80" s="25">
        <f t="shared" si="5"/>
        <v>14104</v>
      </c>
    </row>
    <row r="81" spans="1:24" x14ac:dyDescent="0.25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1804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 s="27">
        <v>1392680589329</v>
      </c>
      <c r="R81">
        <v>82.7</v>
      </c>
      <c r="S81">
        <v>23</v>
      </c>
      <c r="T81">
        <v>47.4</v>
      </c>
      <c r="U81">
        <v>25766605</v>
      </c>
      <c r="V81">
        <f t="shared" ca="1" si="3"/>
        <v>64.647473658010455</v>
      </c>
      <c r="W81" s="25">
        <f t="shared" ca="1" si="4"/>
        <v>46215</v>
      </c>
      <c r="X81" s="25">
        <f t="shared" si="5"/>
        <v>22603</v>
      </c>
    </row>
    <row r="82" spans="1:24" x14ac:dyDescent="0.25">
      <c r="A82">
        <v>83</v>
      </c>
      <c r="B82" t="s">
        <v>49</v>
      </c>
      <c r="C82" t="s">
        <v>413</v>
      </c>
      <c r="D82" t="s">
        <v>32</v>
      </c>
      <c r="E82" t="s">
        <v>414</v>
      </c>
      <c r="F82" t="s">
        <v>204</v>
      </c>
      <c r="G82" t="s">
        <v>49</v>
      </c>
      <c r="H82" t="b">
        <v>1</v>
      </c>
      <c r="I82" t="s">
        <v>1804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>
        <v>117.24</v>
      </c>
      <c r="Q82" s="27">
        <v>21427700000000</v>
      </c>
      <c r="R82">
        <v>78.5</v>
      </c>
      <c r="S82">
        <v>9.6</v>
      </c>
      <c r="T82">
        <v>36.6</v>
      </c>
      <c r="U82">
        <v>328239523</v>
      </c>
      <c r="V82">
        <f t="shared" ca="1" si="3"/>
        <v>76.926743655445961</v>
      </c>
      <c r="W82" s="25">
        <f t="shared" ca="1" si="4"/>
        <v>46215</v>
      </c>
      <c r="X82" s="25">
        <f t="shared" si="5"/>
        <v>18118</v>
      </c>
    </row>
    <row r="83" spans="1:24" x14ac:dyDescent="0.25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1804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 s="27">
        <v>19910000000000</v>
      </c>
      <c r="R83">
        <v>77</v>
      </c>
      <c r="S83">
        <v>9.4</v>
      </c>
      <c r="T83">
        <v>59.2</v>
      </c>
      <c r="U83">
        <v>1397715000</v>
      </c>
      <c r="V83">
        <f t="shared" ca="1" si="3"/>
        <v>63.112936344969199</v>
      </c>
      <c r="W83" s="25">
        <f t="shared" ca="1" si="4"/>
        <v>46215</v>
      </c>
      <c r="X83" s="25">
        <f t="shared" si="5"/>
        <v>23163</v>
      </c>
    </row>
    <row r="84" spans="1:24" x14ac:dyDescent="0.25">
      <c r="A84">
        <v>84</v>
      </c>
      <c r="B84" t="s">
        <v>272</v>
      </c>
      <c r="C84" t="s">
        <v>421</v>
      </c>
      <c r="D84" t="s">
        <v>105</v>
      </c>
      <c r="E84" t="s">
        <v>192</v>
      </c>
      <c r="F84" t="s">
        <v>422</v>
      </c>
      <c r="G84" t="s">
        <v>272</v>
      </c>
      <c r="H84" t="b">
        <v>1</v>
      </c>
      <c r="I84" t="s">
        <v>1804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>
        <v>125.08</v>
      </c>
      <c r="Q84" s="27">
        <v>19910000000000</v>
      </c>
      <c r="R84">
        <v>77</v>
      </c>
      <c r="S84">
        <v>9.4</v>
      </c>
      <c r="T84">
        <v>59.2</v>
      </c>
      <c r="U84">
        <v>1397715000</v>
      </c>
      <c r="V84">
        <f t="shared" ca="1" si="3"/>
        <v>58.362088167053365</v>
      </c>
      <c r="W84" s="25">
        <f t="shared" ca="1" si="4"/>
        <v>46215</v>
      </c>
      <c r="X84" s="25">
        <f t="shared" si="5"/>
        <v>24898</v>
      </c>
    </row>
    <row r="85" spans="1:24" x14ac:dyDescent="0.25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1804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 s="27">
        <v>19910000000000</v>
      </c>
      <c r="R85">
        <v>77</v>
      </c>
      <c r="S85">
        <v>9.4</v>
      </c>
      <c r="T85">
        <v>59.2</v>
      </c>
      <c r="U85">
        <v>1397715000</v>
      </c>
      <c r="V85">
        <f t="shared" ca="1" si="3"/>
        <v>61.236122764407156</v>
      </c>
      <c r="W85" s="25">
        <f t="shared" ca="1" si="4"/>
        <v>46215</v>
      </c>
      <c r="X85" s="25">
        <f t="shared" si="5"/>
        <v>23849</v>
      </c>
    </row>
    <row r="86" spans="1:24" x14ac:dyDescent="0.25">
      <c r="A86">
        <v>88</v>
      </c>
      <c r="B86" t="s">
        <v>30</v>
      </c>
      <c r="C86" t="s">
        <v>429</v>
      </c>
      <c r="D86" t="s">
        <v>105</v>
      </c>
      <c r="E86" t="s">
        <v>192</v>
      </c>
      <c r="F86" t="s">
        <v>430</v>
      </c>
      <c r="G86" t="s">
        <v>30</v>
      </c>
      <c r="H86" t="b">
        <v>1</v>
      </c>
      <c r="I86" t="s">
        <v>1804</v>
      </c>
      <c r="J86" t="s">
        <v>384</v>
      </c>
      <c r="K86" t="s">
        <v>431</v>
      </c>
      <c r="L86">
        <v>18700</v>
      </c>
      <c r="M86">
        <v>1966</v>
      </c>
      <c r="N86">
        <v>2</v>
      </c>
      <c r="O86">
        <v>15</v>
      </c>
      <c r="P86">
        <v>125.08</v>
      </c>
      <c r="Q86" s="27">
        <v>19910000000000</v>
      </c>
      <c r="R86">
        <v>77</v>
      </c>
      <c r="S86">
        <v>9.4</v>
      </c>
      <c r="T86">
        <v>59.2</v>
      </c>
      <c r="U86">
        <v>1397715000</v>
      </c>
      <c r="V86">
        <f t="shared" ca="1" si="3"/>
        <v>60.403141831238777</v>
      </c>
      <c r="W86" s="25">
        <f t="shared" ca="1" si="4"/>
        <v>46215</v>
      </c>
      <c r="X86" s="25">
        <f t="shared" si="5"/>
        <v>24153</v>
      </c>
    </row>
    <row r="87" spans="1:24" x14ac:dyDescent="0.25">
      <c r="A87">
        <v>89</v>
      </c>
      <c r="B87" t="s">
        <v>292</v>
      </c>
      <c r="C87" t="s">
        <v>432</v>
      </c>
      <c r="D87" t="s">
        <v>32</v>
      </c>
      <c r="E87" t="s">
        <v>433</v>
      </c>
      <c r="F87" t="s">
        <v>434</v>
      </c>
      <c r="G87" t="s">
        <v>292</v>
      </c>
      <c r="H87" t="b">
        <v>1</v>
      </c>
      <c r="I87" t="s">
        <v>1804</v>
      </c>
      <c r="J87" t="s">
        <v>435</v>
      </c>
      <c r="K87" t="s">
        <v>436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27">
        <v>21427700000000</v>
      </c>
      <c r="R87">
        <v>78.5</v>
      </c>
      <c r="S87">
        <v>9.6</v>
      </c>
      <c r="T87">
        <v>36.6</v>
      </c>
      <c r="U87">
        <v>328239523</v>
      </c>
      <c r="V87">
        <f t="shared" ca="1" si="3"/>
        <v>80.584507512520872</v>
      </c>
      <c r="W87" s="25">
        <f t="shared" ca="1" si="4"/>
        <v>46215</v>
      </c>
      <c r="X87" s="25">
        <f t="shared" si="5"/>
        <v>16782</v>
      </c>
    </row>
    <row r="88" spans="1:24" x14ac:dyDescent="0.25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1804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27">
        <v>21427700000000</v>
      </c>
      <c r="R88">
        <v>78.5</v>
      </c>
      <c r="S88">
        <v>9.6</v>
      </c>
      <c r="T88">
        <v>36.6</v>
      </c>
      <c r="U88">
        <v>328239523</v>
      </c>
      <c r="V88">
        <f t="shared" ca="1" si="3"/>
        <v>68.833652755505142</v>
      </c>
      <c r="W88" s="25">
        <f t="shared" ca="1" si="4"/>
        <v>46215</v>
      </c>
      <c r="X88" s="25">
        <f t="shared" si="5"/>
        <v>21074</v>
      </c>
    </row>
    <row r="89" spans="1:24" x14ac:dyDescent="0.25">
      <c r="A89">
        <v>89</v>
      </c>
      <c r="B89" t="s">
        <v>292</v>
      </c>
      <c r="C89" t="s">
        <v>439</v>
      </c>
      <c r="D89" t="s">
        <v>327</v>
      </c>
      <c r="E89" t="s">
        <v>328</v>
      </c>
      <c r="F89" t="s">
        <v>440</v>
      </c>
      <c r="G89" t="s">
        <v>292</v>
      </c>
      <c r="H89" t="b">
        <v>1</v>
      </c>
      <c r="I89" t="s">
        <v>1804</v>
      </c>
      <c r="J89" t="s">
        <v>441</v>
      </c>
      <c r="K89" t="s">
        <v>442</v>
      </c>
      <c r="L89">
        <v>18500</v>
      </c>
      <c r="M89">
        <v>1952</v>
      </c>
      <c r="N89">
        <v>11</v>
      </c>
      <c r="O89">
        <v>9</v>
      </c>
      <c r="P89">
        <v>180.75</v>
      </c>
      <c r="Q89" s="27">
        <v>1699876578871</v>
      </c>
      <c r="R89">
        <v>72.7</v>
      </c>
      <c r="S89">
        <v>11.4</v>
      </c>
      <c r="T89">
        <v>46.2</v>
      </c>
      <c r="U89">
        <v>144373535</v>
      </c>
      <c r="V89">
        <f t="shared" ca="1" si="3"/>
        <v>73.669416660582613</v>
      </c>
      <c r="W89" s="25">
        <f t="shared" ca="1" si="4"/>
        <v>46215</v>
      </c>
      <c r="X89" s="25">
        <f t="shared" si="5"/>
        <v>19307</v>
      </c>
    </row>
    <row r="90" spans="1:24" x14ac:dyDescent="0.25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1804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 s="27">
        <v>21427700000000</v>
      </c>
      <c r="R90">
        <v>78.5</v>
      </c>
      <c r="S90">
        <v>9.6</v>
      </c>
      <c r="T90">
        <v>36.6</v>
      </c>
      <c r="U90">
        <v>328239523</v>
      </c>
      <c r="V90">
        <f t="shared" ca="1" si="3"/>
        <v>64.482540752285075</v>
      </c>
      <c r="W90" s="25">
        <f t="shared" ca="1" si="4"/>
        <v>46215</v>
      </c>
      <c r="X90" s="25">
        <f t="shared" si="5"/>
        <v>22663</v>
      </c>
    </row>
    <row r="91" spans="1:24" x14ac:dyDescent="0.25">
      <c r="A91">
        <v>93</v>
      </c>
      <c r="B91" t="s">
        <v>272</v>
      </c>
      <c r="C91" t="s">
        <v>448</v>
      </c>
      <c r="D91" t="s">
        <v>226</v>
      </c>
      <c r="E91" t="s">
        <v>227</v>
      </c>
      <c r="F91" t="s">
        <v>449</v>
      </c>
      <c r="G91" t="s">
        <v>272</v>
      </c>
      <c r="H91" t="b">
        <v>0</v>
      </c>
      <c r="I91" t="s">
        <v>1804</v>
      </c>
      <c r="J91" t="s">
        <v>450</v>
      </c>
      <c r="K91" t="s">
        <v>451</v>
      </c>
      <c r="L91">
        <v>17700</v>
      </c>
      <c r="M91">
        <v>1950</v>
      </c>
      <c r="N91">
        <v>6</v>
      </c>
      <c r="O91">
        <v>15</v>
      </c>
      <c r="P91">
        <v>119.62</v>
      </c>
      <c r="Q91" s="27">
        <v>2827113184696</v>
      </c>
      <c r="R91">
        <v>81.3</v>
      </c>
      <c r="S91">
        <v>25.5</v>
      </c>
      <c r="T91">
        <v>30.6</v>
      </c>
      <c r="U91">
        <v>66834405</v>
      </c>
      <c r="V91">
        <f t="shared" ca="1" si="3"/>
        <v>76.074598207936276</v>
      </c>
      <c r="W91" s="25">
        <f t="shared" ca="1" si="4"/>
        <v>46215</v>
      </c>
      <c r="X91" s="25">
        <f t="shared" si="5"/>
        <v>18429</v>
      </c>
    </row>
    <row r="92" spans="1:24" x14ac:dyDescent="0.25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1804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 s="27">
        <v>21427700000000</v>
      </c>
      <c r="R92">
        <v>78.5</v>
      </c>
      <c r="S92">
        <v>9.6</v>
      </c>
      <c r="T92">
        <v>36.6</v>
      </c>
      <c r="U92">
        <v>328239523</v>
      </c>
      <c r="V92">
        <f t="shared" ca="1" si="3"/>
        <v>70.082828828134041</v>
      </c>
      <c r="W92" s="25">
        <f t="shared" ca="1" si="4"/>
        <v>46215</v>
      </c>
      <c r="X92" s="25">
        <f t="shared" si="5"/>
        <v>20617</v>
      </c>
    </row>
    <row r="93" spans="1:24" x14ac:dyDescent="0.25">
      <c r="A93">
        <v>94</v>
      </c>
      <c r="B93" t="s">
        <v>49</v>
      </c>
      <c r="C93" t="s">
        <v>454</v>
      </c>
      <c r="D93" t="s">
        <v>32</v>
      </c>
      <c r="E93" t="s">
        <v>455</v>
      </c>
      <c r="F93" t="s">
        <v>264</v>
      </c>
      <c r="G93" t="s">
        <v>49</v>
      </c>
      <c r="H93" t="b">
        <v>1</v>
      </c>
      <c r="I93" t="s">
        <v>1804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>
        <v>117.24</v>
      </c>
      <c r="Q93" s="27">
        <v>21427700000000</v>
      </c>
      <c r="R93">
        <v>78.5</v>
      </c>
      <c r="S93">
        <v>9.6</v>
      </c>
      <c r="T93">
        <v>36.6</v>
      </c>
      <c r="U93">
        <v>328239523</v>
      </c>
      <c r="V93">
        <f t="shared" ca="1" si="3"/>
        <v>90.400415187436067</v>
      </c>
      <c r="W93" s="25">
        <f t="shared" ca="1" si="4"/>
        <v>46215</v>
      </c>
      <c r="X93" s="25">
        <f t="shared" si="5"/>
        <v>13196</v>
      </c>
    </row>
    <row r="94" spans="1:24" x14ac:dyDescent="0.25">
      <c r="A94">
        <v>94</v>
      </c>
      <c r="B94" t="s">
        <v>272</v>
      </c>
      <c r="C94" t="s">
        <v>458</v>
      </c>
      <c r="D94" t="s">
        <v>74</v>
      </c>
      <c r="E94" t="s">
        <v>459</v>
      </c>
      <c r="F94" t="s">
        <v>449</v>
      </c>
      <c r="G94" t="s">
        <v>272</v>
      </c>
      <c r="H94" t="b">
        <v>0</v>
      </c>
      <c r="I94" t="s">
        <v>1803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>
        <v>180.44</v>
      </c>
      <c r="Q94" s="27">
        <v>2611000000000</v>
      </c>
      <c r="R94">
        <v>69.400000000000006</v>
      </c>
      <c r="S94">
        <v>11.2</v>
      </c>
      <c r="T94">
        <v>49.7</v>
      </c>
      <c r="U94">
        <v>1366417754</v>
      </c>
      <c r="V94">
        <f t="shared" ca="1" si="3"/>
        <v>76.312793343763332</v>
      </c>
      <c r="W94" s="25">
        <f t="shared" ca="1" si="4"/>
        <v>46215</v>
      </c>
      <c r="X94" s="25">
        <f t="shared" si="5"/>
        <v>18342</v>
      </c>
    </row>
    <row r="95" spans="1:24" x14ac:dyDescent="0.25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1804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>
        <v>117.24</v>
      </c>
      <c r="Q95" s="27">
        <v>21427700000000</v>
      </c>
      <c r="R95">
        <v>78.5</v>
      </c>
      <c r="S95">
        <v>9.6</v>
      </c>
      <c r="T95">
        <v>36.6</v>
      </c>
      <c r="U95">
        <v>328239523</v>
      </c>
      <c r="V95">
        <f t="shared" ca="1" si="3"/>
        <v>94.167699357330179</v>
      </c>
      <c r="W95" s="25">
        <f t="shared" ca="1" si="4"/>
        <v>46215</v>
      </c>
      <c r="X95" s="25">
        <f t="shared" si="5"/>
        <v>11820</v>
      </c>
    </row>
    <row r="96" spans="1:24" x14ac:dyDescent="0.25">
      <c r="A96">
        <v>97</v>
      </c>
      <c r="B96" t="s">
        <v>21</v>
      </c>
      <c r="C96" t="s">
        <v>468</v>
      </c>
      <c r="D96" t="s">
        <v>32</v>
      </c>
      <c r="E96" t="s">
        <v>469</v>
      </c>
      <c r="F96" t="s">
        <v>470</v>
      </c>
      <c r="G96" t="s">
        <v>21</v>
      </c>
      <c r="H96" t="b">
        <v>1</v>
      </c>
      <c r="I96" t="s">
        <v>1804</v>
      </c>
      <c r="J96" t="s">
        <v>471</v>
      </c>
      <c r="K96" t="s">
        <v>190</v>
      </c>
      <c r="L96">
        <v>17400</v>
      </c>
      <c r="M96">
        <v>1940</v>
      </c>
      <c r="N96">
        <v>1</v>
      </c>
      <c r="O96">
        <v>22</v>
      </c>
      <c r="P96">
        <v>117.24</v>
      </c>
      <c r="Q96" s="27">
        <v>21427700000000</v>
      </c>
      <c r="R96">
        <v>78.5</v>
      </c>
      <c r="S96">
        <v>9.6</v>
      </c>
      <c r="T96">
        <v>36.6</v>
      </c>
      <c r="U96">
        <v>328239523</v>
      </c>
      <c r="V96">
        <f t="shared" ca="1" si="3"/>
        <v>86.468861125971614</v>
      </c>
      <c r="W96" s="25">
        <f t="shared" ca="1" si="4"/>
        <v>46215</v>
      </c>
      <c r="X96" s="25">
        <f t="shared" si="5"/>
        <v>14632</v>
      </c>
    </row>
    <row r="97" spans="1:24" x14ac:dyDescent="0.25">
      <c r="A97">
        <v>99</v>
      </c>
      <c r="B97" t="s">
        <v>59</v>
      </c>
      <c r="C97" t="s">
        <v>472</v>
      </c>
      <c r="D97" t="s">
        <v>32</v>
      </c>
      <c r="E97" t="s">
        <v>61</v>
      </c>
      <c r="F97" t="s">
        <v>473</v>
      </c>
      <c r="G97" t="s">
        <v>59</v>
      </c>
      <c r="H97" t="b">
        <v>0</v>
      </c>
      <c r="I97" t="s">
        <v>1804</v>
      </c>
      <c r="J97" t="s">
        <v>474</v>
      </c>
      <c r="K97" t="s">
        <v>475</v>
      </c>
      <c r="L97">
        <v>17100</v>
      </c>
      <c r="M97">
        <v>1931</v>
      </c>
      <c r="N97">
        <v>3</v>
      </c>
      <c r="O97">
        <v>11</v>
      </c>
      <c r="P97">
        <v>117.24</v>
      </c>
      <c r="Q97" s="27">
        <v>21427700000000</v>
      </c>
      <c r="R97">
        <v>78.5</v>
      </c>
      <c r="S97">
        <v>9.6</v>
      </c>
      <c r="T97">
        <v>36.6</v>
      </c>
      <c r="U97">
        <v>328239523</v>
      </c>
      <c r="V97">
        <f t="shared" ca="1" si="3"/>
        <v>95.337440109514034</v>
      </c>
      <c r="W97" s="25">
        <f t="shared" ca="1" si="4"/>
        <v>46215</v>
      </c>
      <c r="X97" s="25">
        <f t="shared" si="5"/>
        <v>11393</v>
      </c>
    </row>
    <row r="98" spans="1:24" x14ac:dyDescent="0.25">
      <c r="A98">
        <v>100</v>
      </c>
      <c r="B98" t="s">
        <v>49</v>
      </c>
      <c r="C98" t="s">
        <v>476</v>
      </c>
      <c r="D98" t="s">
        <v>170</v>
      </c>
      <c r="E98" t="s">
        <v>477</v>
      </c>
      <c r="F98" t="s">
        <v>478</v>
      </c>
      <c r="G98" t="s">
        <v>49</v>
      </c>
      <c r="H98" t="b">
        <v>0</v>
      </c>
      <c r="I98" t="s">
        <v>1803</v>
      </c>
      <c r="J98" t="s">
        <v>479</v>
      </c>
      <c r="K98" t="s">
        <v>480</v>
      </c>
      <c r="L98">
        <v>16700</v>
      </c>
      <c r="M98">
        <v>1953</v>
      </c>
      <c r="N98">
        <v>1</v>
      </c>
      <c r="O98">
        <v>1</v>
      </c>
      <c r="P98">
        <v>99.55</v>
      </c>
      <c r="Q98" s="27">
        <v>703082435360</v>
      </c>
      <c r="R98">
        <v>83.6</v>
      </c>
      <c r="S98">
        <v>10.1</v>
      </c>
      <c r="T98">
        <v>28.8</v>
      </c>
      <c r="U98">
        <v>8574832</v>
      </c>
      <c r="V98">
        <f t="shared" ca="1" si="3"/>
        <v>73.526343051650144</v>
      </c>
      <c r="W98" s="25">
        <f t="shared" ca="1" si="4"/>
        <v>46215</v>
      </c>
      <c r="X98" s="25">
        <f t="shared" si="5"/>
        <v>19360</v>
      </c>
    </row>
    <row r="99" spans="1:24" x14ac:dyDescent="0.25">
      <c r="A99">
        <v>101</v>
      </c>
      <c r="B99" t="s">
        <v>21</v>
      </c>
      <c r="C99" t="s">
        <v>481</v>
      </c>
      <c r="D99" t="s">
        <v>158</v>
      </c>
      <c r="E99" t="s">
        <v>482</v>
      </c>
      <c r="F99" t="s">
        <v>483</v>
      </c>
      <c r="G99" t="s">
        <v>21</v>
      </c>
      <c r="H99" t="b">
        <v>0</v>
      </c>
      <c r="I99" t="s">
        <v>1804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>
        <v>112.85</v>
      </c>
      <c r="Q99" s="27">
        <v>3845630030824</v>
      </c>
      <c r="R99">
        <v>80.900000000000006</v>
      </c>
      <c r="S99">
        <v>11.5</v>
      </c>
      <c r="T99">
        <v>48.8</v>
      </c>
      <c r="U99">
        <v>83132799</v>
      </c>
      <c r="V99">
        <f t="shared" ca="1" si="3"/>
        <v>75.526351813826153</v>
      </c>
      <c r="W99" s="25">
        <f t="shared" ca="1" si="4"/>
        <v>46215</v>
      </c>
      <c r="X99" s="25">
        <f t="shared" si="5"/>
        <v>18629</v>
      </c>
    </row>
    <row r="100" spans="1:24" x14ac:dyDescent="0.25">
      <c r="A100">
        <v>101</v>
      </c>
      <c r="B100" t="s">
        <v>49</v>
      </c>
      <c r="C100" t="s">
        <v>486</v>
      </c>
      <c r="D100" t="s">
        <v>487</v>
      </c>
      <c r="E100" t="s">
        <v>488</v>
      </c>
      <c r="F100" t="s">
        <v>489</v>
      </c>
      <c r="G100" t="s">
        <v>49</v>
      </c>
      <c r="H100" t="b">
        <v>0</v>
      </c>
      <c r="I100" t="s">
        <v>1803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27">
        <v>246489245495</v>
      </c>
      <c r="R100">
        <v>79</v>
      </c>
      <c r="S100">
        <v>14.9</v>
      </c>
      <c r="T100">
        <v>46.1</v>
      </c>
      <c r="U100">
        <v>10669709</v>
      </c>
      <c r="V100">
        <f t="shared" ca="1" si="3"/>
        <v>59.022587268993838</v>
      </c>
      <c r="W100" s="25">
        <f t="shared" ca="1" si="4"/>
        <v>46215</v>
      </c>
      <c r="X100" s="25">
        <f t="shared" si="5"/>
        <v>24657</v>
      </c>
    </row>
    <row r="101" spans="1:24" x14ac:dyDescent="0.25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494</v>
      </c>
      <c r="G101" t="s">
        <v>351</v>
      </c>
      <c r="H101" t="b">
        <v>1</v>
      </c>
      <c r="I101" t="s">
        <v>1804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27">
        <v>19910000000000</v>
      </c>
      <c r="R101">
        <v>77</v>
      </c>
      <c r="S101">
        <v>9.4</v>
      </c>
      <c r="T101">
        <v>59.2</v>
      </c>
      <c r="U101">
        <v>1397715000</v>
      </c>
      <c r="V101">
        <f t="shared" ca="1" si="3"/>
        <v>75.526351813826153</v>
      </c>
      <c r="W101" s="25">
        <f t="shared" ca="1" si="4"/>
        <v>46215</v>
      </c>
      <c r="X101" s="25">
        <f t="shared" si="5"/>
        <v>18629</v>
      </c>
    </row>
    <row r="102" spans="1:24" x14ac:dyDescent="0.25">
      <c r="A102">
        <v>104</v>
      </c>
      <c r="B102" t="s">
        <v>21</v>
      </c>
      <c r="C102" t="s">
        <v>496</v>
      </c>
      <c r="D102" t="s">
        <v>497</v>
      </c>
      <c r="E102" t="s">
        <v>498</v>
      </c>
      <c r="F102" t="s">
        <v>499</v>
      </c>
      <c r="G102" t="s">
        <v>21</v>
      </c>
      <c r="H102" t="b">
        <v>0</v>
      </c>
      <c r="I102" t="s">
        <v>1804</v>
      </c>
      <c r="J102" t="s">
        <v>500</v>
      </c>
      <c r="K102" t="s">
        <v>316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27">
        <v>530832908738</v>
      </c>
      <c r="R102">
        <v>82.5</v>
      </c>
      <c r="S102">
        <v>27.9</v>
      </c>
      <c r="T102">
        <v>49.1</v>
      </c>
      <c r="U102">
        <v>10285453</v>
      </c>
      <c r="V102">
        <f t="shared" ca="1" si="3"/>
        <v>78.770704996577692</v>
      </c>
      <c r="W102" s="25">
        <f t="shared" ca="1" si="4"/>
        <v>46215</v>
      </c>
      <c r="X102" s="25">
        <f t="shared" si="5"/>
        <v>17444</v>
      </c>
    </row>
    <row r="103" spans="1:24" x14ac:dyDescent="0.25">
      <c r="A103">
        <v>104</v>
      </c>
      <c r="B103" t="s">
        <v>38</v>
      </c>
      <c r="C103" t="s">
        <v>502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1804</v>
      </c>
      <c r="J103" t="s">
        <v>504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27">
        <v>21427700000000</v>
      </c>
      <c r="R103">
        <v>78.5</v>
      </c>
      <c r="S103">
        <v>9.6</v>
      </c>
      <c r="T103">
        <v>36.6</v>
      </c>
      <c r="U103">
        <v>328239523</v>
      </c>
      <c r="V103">
        <f t="shared" ca="1" si="3"/>
        <v>71.208761122518823</v>
      </c>
      <c r="W103" s="25">
        <f t="shared" ca="1" si="4"/>
        <v>46215</v>
      </c>
      <c r="X103" s="25">
        <f t="shared" si="5"/>
        <v>20206</v>
      </c>
    </row>
    <row r="104" spans="1:24" x14ac:dyDescent="0.25">
      <c r="A104">
        <v>106</v>
      </c>
      <c r="B104" t="s">
        <v>49</v>
      </c>
      <c r="C104" t="s">
        <v>505</v>
      </c>
      <c r="D104" t="s">
        <v>170</v>
      </c>
      <c r="E104" t="s">
        <v>239</v>
      </c>
      <c r="F104" t="s">
        <v>204</v>
      </c>
      <c r="G104" t="s">
        <v>49</v>
      </c>
      <c r="H104" t="b">
        <v>1</v>
      </c>
      <c r="I104" t="s">
        <v>1804</v>
      </c>
      <c r="J104" t="s">
        <v>506</v>
      </c>
      <c r="K104" t="s">
        <v>64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27">
        <v>703082435360</v>
      </c>
      <c r="R104">
        <v>83.6</v>
      </c>
      <c r="S104">
        <v>10.1</v>
      </c>
      <c r="T104">
        <v>28.8</v>
      </c>
      <c r="U104">
        <v>8574832</v>
      </c>
      <c r="V104">
        <f t="shared" ca="1" si="3"/>
        <v>58.315545243619489</v>
      </c>
      <c r="W104" s="25">
        <f t="shared" ca="1" si="4"/>
        <v>46215</v>
      </c>
      <c r="X104" s="25">
        <f t="shared" si="5"/>
        <v>24915</v>
      </c>
    </row>
    <row r="105" spans="1:24" x14ac:dyDescent="0.25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1804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27">
        <v>19910000000000</v>
      </c>
      <c r="R105">
        <v>77</v>
      </c>
      <c r="S105">
        <v>9.4</v>
      </c>
      <c r="T105">
        <v>59.2</v>
      </c>
      <c r="U105">
        <v>1397715000</v>
      </c>
      <c r="V105">
        <f t="shared" ca="1" si="3"/>
        <v>70.477075540816713</v>
      </c>
      <c r="W105" s="25">
        <f t="shared" ca="1" si="4"/>
        <v>46215</v>
      </c>
      <c r="X105" s="25">
        <f t="shared" si="5"/>
        <v>20473</v>
      </c>
    </row>
    <row r="106" spans="1:24" x14ac:dyDescent="0.25">
      <c r="A106">
        <v>108</v>
      </c>
      <c r="B106" t="s">
        <v>103</v>
      </c>
      <c r="C106" t="s">
        <v>511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1804</v>
      </c>
      <c r="J106" t="s">
        <v>514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27">
        <v>703082435360</v>
      </c>
      <c r="R106">
        <v>83.6</v>
      </c>
      <c r="S106">
        <v>10.1</v>
      </c>
      <c r="T106">
        <v>28.8</v>
      </c>
      <c r="U106">
        <v>8574832</v>
      </c>
      <c r="V106">
        <f t="shared" ca="1" si="3"/>
        <v>86.87748117727584</v>
      </c>
      <c r="W106" s="25">
        <f t="shared" ca="1" si="4"/>
        <v>46215</v>
      </c>
      <c r="X106" s="25">
        <f t="shared" si="5"/>
        <v>14483</v>
      </c>
    </row>
    <row r="107" spans="1:24" x14ac:dyDescent="0.25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1804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27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>
        <f t="shared" ca="1" si="3"/>
        <v>70.778918548939089</v>
      </c>
      <c r="W107" s="25">
        <f t="shared" ca="1" si="4"/>
        <v>46215</v>
      </c>
      <c r="X107" s="25">
        <f t="shared" si="5"/>
        <v>20363</v>
      </c>
    </row>
    <row r="108" spans="1:24" x14ac:dyDescent="0.25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1804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27">
        <v>21427700000000</v>
      </c>
      <c r="R108">
        <v>78.5</v>
      </c>
      <c r="S108">
        <v>9.6</v>
      </c>
      <c r="T108">
        <v>36.6</v>
      </c>
      <c r="U108">
        <v>328239523</v>
      </c>
      <c r="V108">
        <f t="shared" ca="1" si="3"/>
        <v>48.340168743364806</v>
      </c>
      <c r="W108" s="25">
        <f t="shared" ca="1" si="4"/>
        <v>46215</v>
      </c>
      <c r="X108" s="25">
        <f t="shared" si="5"/>
        <v>28559</v>
      </c>
    </row>
    <row r="109" spans="1:24" x14ac:dyDescent="0.25">
      <c r="A109">
        <v>114</v>
      </c>
      <c r="B109" t="s">
        <v>21</v>
      </c>
      <c r="C109" t="s">
        <v>525</v>
      </c>
      <c r="D109" t="s">
        <v>74</v>
      </c>
      <c r="E109" t="s">
        <v>75</v>
      </c>
      <c r="F109" t="s">
        <v>526</v>
      </c>
      <c r="G109" t="s">
        <v>21</v>
      </c>
      <c r="H109" t="b">
        <v>1</v>
      </c>
      <c r="I109" t="s">
        <v>1804</v>
      </c>
      <c r="J109" t="s">
        <v>527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27">
        <v>2611000000000</v>
      </c>
      <c r="R109">
        <v>69.400000000000006</v>
      </c>
      <c r="S109">
        <v>11.2</v>
      </c>
      <c r="T109">
        <v>49.7</v>
      </c>
      <c r="U109">
        <v>1366417754</v>
      </c>
      <c r="V109">
        <f t="shared" ca="1" si="3"/>
        <v>71.526351813826153</v>
      </c>
      <c r="W109" s="25">
        <f t="shared" ca="1" si="4"/>
        <v>46215</v>
      </c>
      <c r="X109" s="25">
        <f t="shared" si="5"/>
        <v>20090</v>
      </c>
    </row>
    <row r="110" spans="1:24" x14ac:dyDescent="0.25">
      <c r="A110">
        <v>115</v>
      </c>
      <c r="B110" t="s">
        <v>30</v>
      </c>
      <c r="C110" t="s">
        <v>529</v>
      </c>
      <c r="D110" t="s">
        <v>105</v>
      </c>
      <c r="E110" t="s">
        <v>214</v>
      </c>
      <c r="F110" t="s">
        <v>215</v>
      </c>
      <c r="G110" t="s">
        <v>30</v>
      </c>
      <c r="H110" t="b">
        <v>1</v>
      </c>
      <c r="I110" t="s">
        <v>1804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27">
        <v>19910000000000</v>
      </c>
      <c r="R110">
        <v>77</v>
      </c>
      <c r="S110">
        <v>9.4</v>
      </c>
      <c r="T110">
        <v>59.2</v>
      </c>
      <c r="U110">
        <v>1397715000</v>
      </c>
      <c r="V110">
        <f t="shared" ca="1" si="3"/>
        <v>59.526351813826146</v>
      </c>
      <c r="W110" s="25">
        <f t="shared" ca="1" si="4"/>
        <v>46215</v>
      </c>
      <c r="X110" s="25">
        <f t="shared" si="5"/>
        <v>24473</v>
      </c>
    </row>
    <row r="111" spans="1:24" x14ac:dyDescent="0.25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1804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27">
        <v>543649976166</v>
      </c>
      <c r="R111">
        <v>76.900000000000006</v>
      </c>
      <c r="S111">
        <v>14.9</v>
      </c>
      <c r="T111">
        <v>29.5</v>
      </c>
      <c r="U111">
        <v>69625582</v>
      </c>
      <c r="V111">
        <f t="shared" ca="1" si="3"/>
        <v>87.230663928815886</v>
      </c>
      <c r="W111" s="25">
        <f t="shared" ca="1" si="4"/>
        <v>46215</v>
      </c>
      <c r="X111" s="25">
        <f t="shared" si="5"/>
        <v>14354</v>
      </c>
    </row>
    <row r="112" spans="1:24" x14ac:dyDescent="0.25">
      <c r="A112">
        <v>116</v>
      </c>
      <c r="B112" t="s">
        <v>21</v>
      </c>
      <c r="C112" t="s">
        <v>537</v>
      </c>
      <c r="D112" t="s">
        <v>32</v>
      </c>
      <c r="E112" t="s">
        <v>433</v>
      </c>
      <c r="F112" t="s">
        <v>160</v>
      </c>
      <c r="G112" t="s">
        <v>21</v>
      </c>
      <c r="H112" t="b">
        <v>1</v>
      </c>
      <c r="I112" t="s">
        <v>1804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27">
        <v>21427700000000</v>
      </c>
      <c r="R112">
        <v>78.5</v>
      </c>
      <c r="S112">
        <v>9.6</v>
      </c>
      <c r="T112">
        <v>36.6</v>
      </c>
      <c r="U112">
        <v>328239523</v>
      </c>
      <c r="V112">
        <f t="shared" ca="1" si="3"/>
        <v>84.661169653942892</v>
      </c>
      <c r="W112" s="25">
        <f t="shared" ca="1" si="4"/>
        <v>46215</v>
      </c>
      <c r="X112" s="25">
        <f t="shared" si="5"/>
        <v>15293</v>
      </c>
    </row>
    <row r="113" spans="1:24" x14ac:dyDescent="0.25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1804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27">
        <v>543649976166</v>
      </c>
      <c r="R113">
        <v>76.900000000000006</v>
      </c>
      <c r="S113">
        <v>14.9</v>
      </c>
      <c r="T113">
        <v>29.5</v>
      </c>
      <c r="U113">
        <v>69625582</v>
      </c>
      <c r="V113">
        <f t="shared" ca="1" si="3"/>
        <v>82.192340678189737</v>
      </c>
      <c r="W113" s="25">
        <f t="shared" ca="1" si="4"/>
        <v>46215</v>
      </c>
      <c r="X113" s="25">
        <f t="shared" si="5"/>
        <v>16194</v>
      </c>
    </row>
    <row r="114" spans="1:24" x14ac:dyDescent="0.25">
      <c r="A114">
        <v>119</v>
      </c>
      <c r="B114" t="s">
        <v>103</v>
      </c>
      <c r="C114" t="s">
        <v>543</v>
      </c>
      <c r="D114" t="s">
        <v>226</v>
      </c>
      <c r="E114" t="s">
        <v>227</v>
      </c>
      <c r="F114" t="s">
        <v>544</v>
      </c>
      <c r="G114" t="s">
        <v>103</v>
      </c>
      <c r="H114" t="b">
        <v>0</v>
      </c>
      <c r="I114" t="s">
        <v>1803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27">
        <v>2827113184696</v>
      </c>
      <c r="R114">
        <v>81.3</v>
      </c>
      <c r="S114">
        <v>25.5</v>
      </c>
      <c r="T114">
        <v>30.6</v>
      </c>
      <c r="U114">
        <v>66834405</v>
      </c>
      <c r="V114">
        <f t="shared" ca="1" si="3"/>
        <v>72.033529610321423</v>
      </c>
      <c r="W114" s="25">
        <f t="shared" ca="1" si="4"/>
        <v>46215</v>
      </c>
      <c r="X114" s="25">
        <f t="shared" si="5"/>
        <v>19905</v>
      </c>
    </row>
    <row r="115" spans="1:24" x14ac:dyDescent="0.25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1804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27">
        <v>19910000000000</v>
      </c>
      <c r="R115">
        <v>77</v>
      </c>
      <c r="S115">
        <v>9.4</v>
      </c>
      <c r="T115">
        <v>59.2</v>
      </c>
      <c r="U115">
        <v>1397715000</v>
      </c>
      <c r="V115">
        <f t="shared" ca="1" si="3"/>
        <v>64.140305800092662</v>
      </c>
      <c r="W115" s="25">
        <f t="shared" ca="1" si="4"/>
        <v>46215</v>
      </c>
      <c r="X115" s="25">
        <f t="shared" si="5"/>
        <v>22788</v>
      </c>
    </row>
    <row r="116" spans="1:24" x14ac:dyDescent="0.25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1804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27">
        <v>19910000000000</v>
      </c>
      <c r="R116">
        <v>77</v>
      </c>
      <c r="S116">
        <v>9.4</v>
      </c>
      <c r="T116">
        <v>59.2</v>
      </c>
      <c r="U116">
        <v>1397715000</v>
      </c>
      <c r="V116">
        <f t="shared" ca="1" si="3"/>
        <v>62.362087697188301</v>
      </c>
      <c r="W116" s="25">
        <f t="shared" ca="1" si="4"/>
        <v>46215</v>
      </c>
      <c r="X116" s="25">
        <f t="shared" si="5"/>
        <v>23437</v>
      </c>
    </row>
    <row r="117" spans="1:24" x14ac:dyDescent="0.25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1804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27">
        <v>372062527489</v>
      </c>
      <c r="R117">
        <v>83.1</v>
      </c>
      <c r="S117">
        <v>13.1</v>
      </c>
      <c r="T117">
        <v>21</v>
      </c>
      <c r="U117">
        <v>5703569</v>
      </c>
      <c r="V117">
        <f t="shared" ca="1" si="3"/>
        <v>99.041752224503767</v>
      </c>
      <c r="W117" s="25">
        <f t="shared" ca="1" si="4"/>
        <v>46215</v>
      </c>
      <c r="X117" s="25">
        <f t="shared" si="5"/>
        <v>10040</v>
      </c>
    </row>
    <row r="118" spans="1:24" x14ac:dyDescent="0.25">
      <c r="A118">
        <v>124</v>
      </c>
      <c r="B118" t="s">
        <v>72</v>
      </c>
      <c r="C118" t="s">
        <v>560</v>
      </c>
      <c r="D118" t="s">
        <v>74</v>
      </c>
      <c r="E118" t="s">
        <v>75</v>
      </c>
      <c r="F118" t="s">
        <v>561</v>
      </c>
      <c r="G118" t="s">
        <v>72</v>
      </c>
      <c r="H118" t="b">
        <v>0</v>
      </c>
      <c r="I118" t="s">
        <v>1804</v>
      </c>
      <c r="J118" t="s">
        <v>562</v>
      </c>
      <c r="K118" t="s">
        <v>563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27">
        <v>2611000000000</v>
      </c>
      <c r="R118">
        <v>69.400000000000006</v>
      </c>
      <c r="S118">
        <v>11.2</v>
      </c>
      <c r="T118">
        <v>49.7</v>
      </c>
      <c r="U118">
        <v>1366417754</v>
      </c>
      <c r="V118">
        <f t="shared" ca="1" si="3"/>
        <v>59.077344284736483</v>
      </c>
      <c r="W118" s="25">
        <f t="shared" ca="1" si="4"/>
        <v>46215</v>
      </c>
      <c r="X118" s="25">
        <f t="shared" si="5"/>
        <v>24637</v>
      </c>
    </row>
    <row r="119" spans="1:24" x14ac:dyDescent="0.25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1804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27">
        <v>448120428859</v>
      </c>
      <c r="R119">
        <v>54.3</v>
      </c>
      <c r="S119">
        <v>1.5</v>
      </c>
      <c r="T119">
        <v>34.799999999999997</v>
      </c>
      <c r="U119">
        <v>200963599</v>
      </c>
      <c r="V119">
        <f t="shared" ca="1" si="3"/>
        <v>69.255290022294361</v>
      </c>
      <c r="W119" s="25">
        <f t="shared" ca="1" si="4"/>
        <v>46215</v>
      </c>
      <c r="X119" s="25">
        <f t="shared" si="5"/>
        <v>20920</v>
      </c>
    </row>
    <row r="120" spans="1:24" x14ac:dyDescent="0.25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1804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27">
        <v>2827113184696</v>
      </c>
      <c r="R120">
        <v>81.3</v>
      </c>
      <c r="S120">
        <v>25.5</v>
      </c>
      <c r="T120">
        <v>30.6</v>
      </c>
      <c r="U120">
        <v>66834405</v>
      </c>
      <c r="V120">
        <f t="shared" ca="1" si="3"/>
        <v>70.776180698151947</v>
      </c>
      <c r="W120" s="25">
        <f t="shared" ca="1" si="4"/>
        <v>46215</v>
      </c>
      <c r="X120" s="25">
        <f t="shared" si="5"/>
        <v>20364</v>
      </c>
    </row>
    <row r="121" spans="1:24" x14ac:dyDescent="0.25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1804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27">
        <v>19910000000000</v>
      </c>
      <c r="R121">
        <v>77</v>
      </c>
      <c r="S121">
        <v>9.4</v>
      </c>
      <c r="T121">
        <v>59.2</v>
      </c>
      <c r="U121">
        <v>1397715000</v>
      </c>
      <c r="V121">
        <f t="shared" ca="1" si="3"/>
        <v>60.861028924707441</v>
      </c>
      <c r="W121" s="25">
        <f t="shared" ca="1" si="4"/>
        <v>46215</v>
      </c>
      <c r="X121" s="25">
        <f t="shared" si="5"/>
        <v>23986</v>
      </c>
    </row>
    <row r="122" spans="1:24" x14ac:dyDescent="0.25">
      <c r="A122">
        <v>130</v>
      </c>
      <c r="B122" t="s">
        <v>168</v>
      </c>
      <c r="C122" t="s">
        <v>578</v>
      </c>
      <c r="D122" t="s">
        <v>226</v>
      </c>
      <c r="E122" t="s">
        <v>227</v>
      </c>
      <c r="F122" t="s">
        <v>172</v>
      </c>
      <c r="G122" t="s">
        <v>168</v>
      </c>
      <c r="H122" t="b">
        <v>1</v>
      </c>
      <c r="I122" t="s">
        <v>1804</v>
      </c>
      <c r="J122" t="s">
        <v>579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27">
        <v>2827113184696</v>
      </c>
      <c r="R122">
        <v>81.3</v>
      </c>
      <c r="S122">
        <v>25.5</v>
      </c>
      <c r="T122">
        <v>30.6</v>
      </c>
      <c r="U122">
        <v>66834405</v>
      </c>
      <c r="V122">
        <f t="shared" ca="1" si="3"/>
        <v>81.441469115191993</v>
      </c>
      <c r="W122" s="25">
        <f t="shared" ca="1" si="4"/>
        <v>46215</v>
      </c>
      <c r="X122" s="25">
        <f t="shared" si="5"/>
        <v>16469</v>
      </c>
    </row>
    <row r="123" spans="1:24" x14ac:dyDescent="0.25">
      <c r="A123">
        <v>130</v>
      </c>
      <c r="B123" t="s">
        <v>580</v>
      </c>
      <c r="C123" t="s">
        <v>581</v>
      </c>
      <c r="D123" t="s">
        <v>32</v>
      </c>
      <c r="E123" t="s">
        <v>582</v>
      </c>
      <c r="F123" t="s">
        <v>583</v>
      </c>
      <c r="G123" t="s">
        <v>580</v>
      </c>
      <c r="H123" t="b">
        <v>1</v>
      </c>
      <c r="I123" t="s">
        <v>1803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27">
        <v>21427700000000</v>
      </c>
      <c r="R123">
        <v>78.5</v>
      </c>
      <c r="S123">
        <v>9.6</v>
      </c>
      <c r="T123">
        <v>36.6</v>
      </c>
      <c r="U123">
        <v>328239523</v>
      </c>
      <c r="V123">
        <f t="shared" ca="1" si="3"/>
        <v>79.362080766598226</v>
      </c>
      <c r="W123" s="25">
        <f t="shared" ca="1" si="4"/>
        <v>46215</v>
      </c>
      <c r="X123" s="25">
        <f t="shared" si="5"/>
        <v>17228</v>
      </c>
    </row>
    <row r="124" spans="1:24" x14ac:dyDescent="0.25">
      <c r="A124">
        <v>130</v>
      </c>
      <c r="B124" t="s">
        <v>38</v>
      </c>
      <c r="C124" t="s">
        <v>586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1804</v>
      </c>
      <c r="J124" t="s">
        <v>588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27">
        <v>21427700000000</v>
      </c>
      <c r="R124">
        <v>78.5</v>
      </c>
      <c r="S124">
        <v>9.6</v>
      </c>
      <c r="T124">
        <v>36.6</v>
      </c>
      <c r="U124">
        <v>328239523</v>
      </c>
      <c r="V124">
        <f t="shared" ca="1" si="3"/>
        <v>50.378516212153748</v>
      </c>
      <c r="W124" s="25">
        <f t="shared" ca="1" si="4"/>
        <v>46215</v>
      </c>
      <c r="X124" s="25">
        <f t="shared" si="5"/>
        <v>27814</v>
      </c>
    </row>
    <row r="125" spans="1:24" x14ac:dyDescent="0.25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1804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27">
        <v>21427700000000</v>
      </c>
      <c r="R125">
        <v>78.5</v>
      </c>
      <c r="S125">
        <v>9.6</v>
      </c>
      <c r="T125">
        <v>36.6</v>
      </c>
      <c r="U125">
        <v>328239523</v>
      </c>
      <c r="V125">
        <f t="shared" ca="1" si="3"/>
        <v>83.746054242092384</v>
      </c>
      <c r="W125" s="25">
        <f t="shared" ca="1" si="4"/>
        <v>46215</v>
      </c>
      <c r="X125" s="25">
        <f t="shared" si="5"/>
        <v>15627</v>
      </c>
    </row>
    <row r="126" spans="1:24" x14ac:dyDescent="0.25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1804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27">
        <v>21427700000000</v>
      </c>
      <c r="R126">
        <v>78.5</v>
      </c>
      <c r="S126">
        <v>9.6</v>
      </c>
      <c r="T126">
        <v>36.6</v>
      </c>
      <c r="U126">
        <v>328239523</v>
      </c>
      <c r="V126">
        <f t="shared" ca="1" si="3"/>
        <v>83.9541325774657</v>
      </c>
      <c r="W126" s="25">
        <f t="shared" ca="1" si="4"/>
        <v>46215</v>
      </c>
      <c r="X126" s="25">
        <f t="shared" si="5"/>
        <v>15551</v>
      </c>
    </row>
    <row r="127" spans="1:24" x14ac:dyDescent="0.25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1804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27">
        <v>19910000000000</v>
      </c>
      <c r="R127">
        <v>77</v>
      </c>
      <c r="S127">
        <v>9.4</v>
      </c>
      <c r="T127">
        <v>59.2</v>
      </c>
      <c r="U127">
        <v>1397715000</v>
      </c>
      <c r="V127">
        <f t="shared" ca="1" si="3"/>
        <v>63.537972284234023</v>
      </c>
      <c r="W127" s="25">
        <f t="shared" ca="1" si="4"/>
        <v>46215</v>
      </c>
      <c r="X127" s="25">
        <f t="shared" si="5"/>
        <v>23008</v>
      </c>
    </row>
    <row r="128" spans="1:24" x14ac:dyDescent="0.25">
      <c r="A128">
        <v>137</v>
      </c>
      <c r="B128" t="s">
        <v>462</v>
      </c>
      <c r="C128" t="s">
        <v>606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1804</v>
      </c>
      <c r="J128" t="s">
        <v>608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27">
        <v>1392680589329</v>
      </c>
      <c r="R128">
        <v>82.7</v>
      </c>
      <c r="S128">
        <v>23</v>
      </c>
      <c r="T128">
        <v>47.4</v>
      </c>
      <c r="U128">
        <v>25766605</v>
      </c>
      <c r="V128">
        <f t="shared" ca="1" si="3"/>
        <v>93.359333585762968</v>
      </c>
      <c r="W128" s="25">
        <f t="shared" ca="1" si="4"/>
        <v>46215</v>
      </c>
      <c r="X128" s="25">
        <f t="shared" si="5"/>
        <v>12116</v>
      </c>
    </row>
    <row r="129" spans="1:24" x14ac:dyDescent="0.25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1804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27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>
        <f t="shared" ca="1" si="3"/>
        <v>67.32648870636551</v>
      </c>
      <c r="W129" s="25">
        <f t="shared" ca="1" si="4"/>
        <v>46215</v>
      </c>
      <c r="X129" s="25">
        <f t="shared" si="5"/>
        <v>21624</v>
      </c>
    </row>
    <row r="130" spans="1:24" x14ac:dyDescent="0.25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1804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27">
        <v>21427700000000</v>
      </c>
      <c r="R130">
        <v>78.5</v>
      </c>
      <c r="S130">
        <v>9.6</v>
      </c>
      <c r="T130">
        <v>36.6</v>
      </c>
      <c r="U130">
        <v>328239523</v>
      </c>
      <c r="V130">
        <f t="shared" ref="V130:V193" ca="1" si="6">YEARFRAC(X130,W130,1)</f>
        <v>78.954140999315541</v>
      </c>
      <c r="W130" s="25">
        <f t="shared" ca="1" si="4"/>
        <v>46215</v>
      </c>
      <c r="X130" s="25">
        <f t="shared" si="5"/>
        <v>17377</v>
      </c>
    </row>
    <row r="131" spans="1:24" x14ac:dyDescent="0.25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1804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27">
        <v>2827113184696</v>
      </c>
      <c r="R131">
        <v>81.3</v>
      </c>
      <c r="S131">
        <v>25.5</v>
      </c>
      <c r="T131">
        <v>30.6</v>
      </c>
      <c r="U131">
        <v>66834405</v>
      </c>
      <c r="V131">
        <f t="shared" ca="1" si="6"/>
        <v>62.222458824040679</v>
      </c>
      <c r="W131" s="25">
        <f t="shared" ref="W131:W194" ca="1" si="7">TODAY()</f>
        <v>46215</v>
      </c>
      <c r="X131" s="25">
        <f t="shared" ref="X131:X194" si="8">DATE(M131,N131,O131)</f>
        <v>23488</v>
      </c>
    </row>
    <row r="132" spans="1:24" x14ac:dyDescent="0.25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1804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27">
        <v>543649976166</v>
      </c>
      <c r="R132">
        <v>76.900000000000006</v>
      </c>
      <c r="S132">
        <v>14.9</v>
      </c>
      <c r="T132">
        <v>29.5</v>
      </c>
      <c r="U132">
        <v>69625582</v>
      </c>
      <c r="V132">
        <f t="shared" ca="1" si="6"/>
        <v>61.000662397880326</v>
      </c>
      <c r="W132" s="25">
        <f t="shared" ca="1" si="7"/>
        <v>46215</v>
      </c>
      <c r="X132" s="25">
        <f t="shared" si="8"/>
        <v>23935</v>
      </c>
    </row>
    <row r="133" spans="1:24" x14ac:dyDescent="0.25">
      <c r="A133">
        <v>142</v>
      </c>
      <c r="B133" t="s">
        <v>272</v>
      </c>
      <c r="C133" t="s">
        <v>625</v>
      </c>
      <c r="D133" t="s">
        <v>105</v>
      </c>
      <c r="E133" t="s">
        <v>626</v>
      </c>
      <c r="F133" t="s">
        <v>296</v>
      </c>
      <c r="G133" t="s">
        <v>272</v>
      </c>
      <c r="H133" t="b">
        <v>1</v>
      </c>
      <c r="I133" t="s">
        <v>1804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27">
        <v>19910000000000</v>
      </c>
      <c r="R133">
        <v>77</v>
      </c>
      <c r="S133">
        <v>9.4</v>
      </c>
      <c r="T133">
        <v>59.2</v>
      </c>
      <c r="U133">
        <v>1397715000</v>
      </c>
      <c r="V133">
        <f t="shared" ca="1" si="6"/>
        <v>53.441464280281899</v>
      </c>
      <c r="W133" s="25">
        <f t="shared" ca="1" si="7"/>
        <v>46215</v>
      </c>
      <c r="X133" s="25">
        <f t="shared" si="8"/>
        <v>26696</v>
      </c>
    </row>
    <row r="134" spans="1:24" x14ac:dyDescent="0.25">
      <c r="A134">
        <v>142</v>
      </c>
      <c r="B134" t="s">
        <v>351</v>
      </c>
      <c r="C134" t="s">
        <v>629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1804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27">
        <v>19910000000000</v>
      </c>
      <c r="R134">
        <v>77</v>
      </c>
      <c r="S134">
        <v>9.4</v>
      </c>
      <c r="T134">
        <v>59.2</v>
      </c>
      <c r="U134">
        <v>1397715000</v>
      </c>
      <c r="V134">
        <f t="shared" ca="1" si="6"/>
        <v>72.759730649696607</v>
      </c>
      <c r="W134" s="25">
        <f t="shared" ca="1" si="7"/>
        <v>46215</v>
      </c>
      <c r="X134" s="25">
        <f t="shared" si="8"/>
        <v>19640</v>
      </c>
    </row>
    <row r="135" spans="1:24" x14ac:dyDescent="0.25">
      <c r="A135">
        <v>144</v>
      </c>
      <c r="B135" t="s">
        <v>30</v>
      </c>
      <c r="C135" t="s">
        <v>633</v>
      </c>
      <c r="D135" t="s">
        <v>32</v>
      </c>
      <c r="E135" t="s">
        <v>634</v>
      </c>
      <c r="F135" t="s">
        <v>635</v>
      </c>
      <c r="G135" t="s">
        <v>30</v>
      </c>
      <c r="H135" t="b">
        <v>1</v>
      </c>
      <c r="I135" t="s">
        <v>1804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27">
        <v>21427700000000</v>
      </c>
      <c r="R135">
        <v>78.5</v>
      </c>
      <c r="S135">
        <v>9.6</v>
      </c>
      <c r="T135">
        <v>36.6</v>
      </c>
      <c r="U135">
        <v>328239523</v>
      </c>
      <c r="V135">
        <f t="shared" ca="1" si="6"/>
        <v>75.984248328829466</v>
      </c>
      <c r="W135" s="25">
        <f t="shared" ca="1" si="7"/>
        <v>46215</v>
      </c>
      <c r="X135" s="25">
        <f t="shared" si="8"/>
        <v>18462</v>
      </c>
    </row>
    <row r="136" spans="1:24" x14ac:dyDescent="0.25">
      <c r="A136">
        <v>145</v>
      </c>
      <c r="B136" t="s">
        <v>38</v>
      </c>
      <c r="C136" t="s">
        <v>638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1803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27">
        <v>21427700000000</v>
      </c>
      <c r="R136">
        <v>78.5</v>
      </c>
      <c r="S136">
        <v>9.6</v>
      </c>
      <c r="T136">
        <v>36.6</v>
      </c>
      <c r="U136">
        <v>328239523</v>
      </c>
      <c r="V136">
        <f t="shared" ca="1" si="6"/>
        <v>62.680355920602324</v>
      </c>
      <c r="W136" s="25">
        <f t="shared" ca="1" si="7"/>
        <v>46215</v>
      </c>
      <c r="X136" s="25">
        <f t="shared" si="8"/>
        <v>23321</v>
      </c>
    </row>
    <row r="137" spans="1:24" x14ac:dyDescent="0.25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1804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27">
        <v>21427700000000</v>
      </c>
      <c r="R137">
        <v>78.5</v>
      </c>
      <c r="S137">
        <v>9.6</v>
      </c>
      <c r="T137">
        <v>36.6</v>
      </c>
      <c r="U137">
        <v>328239523</v>
      </c>
      <c r="V137">
        <f t="shared" ca="1" si="6"/>
        <v>86.170437737986603</v>
      </c>
      <c r="W137" s="25">
        <f t="shared" ca="1" si="7"/>
        <v>46215</v>
      </c>
      <c r="X137" s="25">
        <f t="shared" si="8"/>
        <v>14741</v>
      </c>
    </row>
    <row r="138" spans="1:24" x14ac:dyDescent="0.25">
      <c r="A138">
        <v>148</v>
      </c>
      <c r="B138" t="s">
        <v>38</v>
      </c>
      <c r="C138" t="s">
        <v>644</v>
      </c>
      <c r="D138" t="s">
        <v>306</v>
      </c>
      <c r="E138" t="s">
        <v>645</v>
      </c>
      <c r="F138" t="s">
        <v>646</v>
      </c>
      <c r="G138" t="s">
        <v>38</v>
      </c>
      <c r="H138" t="b">
        <v>1</v>
      </c>
      <c r="I138" t="s">
        <v>1804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27">
        <v>421142267938</v>
      </c>
      <c r="R138">
        <v>77.8</v>
      </c>
      <c r="S138">
        <v>0.1</v>
      </c>
      <c r="T138">
        <v>15.9</v>
      </c>
      <c r="U138">
        <v>9770529</v>
      </c>
      <c r="V138">
        <f t="shared" ca="1" si="6"/>
        <v>41.75155991340889</v>
      </c>
      <c r="W138" s="25">
        <f t="shared" ca="1" si="7"/>
        <v>46215</v>
      </c>
      <c r="X138" s="25">
        <f t="shared" si="8"/>
        <v>30965</v>
      </c>
    </row>
    <row r="139" spans="1:24" x14ac:dyDescent="0.25">
      <c r="A139">
        <v>148</v>
      </c>
      <c r="B139" t="s">
        <v>351</v>
      </c>
      <c r="C139" t="s">
        <v>649</v>
      </c>
      <c r="D139" t="s">
        <v>158</v>
      </c>
      <c r="E139" t="s">
        <v>650</v>
      </c>
      <c r="F139" t="s">
        <v>517</v>
      </c>
      <c r="G139" t="s">
        <v>351</v>
      </c>
      <c r="H139" t="b">
        <v>1</v>
      </c>
      <c r="I139" t="s">
        <v>1804</v>
      </c>
      <c r="J139" t="s">
        <v>651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27">
        <v>3845630030824</v>
      </c>
      <c r="R139">
        <v>80.900000000000006</v>
      </c>
      <c r="S139">
        <v>11.5</v>
      </c>
      <c r="T139">
        <v>48.8</v>
      </c>
      <c r="U139">
        <v>83132799</v>
      </c>
      <c r="V139">
        <f t="shared" ca="1" si="6"/>
        <v>76.400405347745689</v>
      </c>
      <c r="W139" s="25">
        <f t="shared" ca="1" si="7"/>
        <v>46215</v>
      </c>
      <c r="X139" s="25">
        <f t="shared" si="8"/>
        <v>18310</v>
      </c>
    </row>
    <row r="140" spans="1:24" x14ac:dyDescent="0.25">
      <c r="A140">
        <v>148</v>
      </c>
      <c r="B140" t="s">
        <v>351</v>
      </c>
      <c r="C140" t="s">
        <v>653</v>
      </c>
      <c r="D140" t="s">
        <v>158</v>
      </c>
      <c r="E140" t="s">
        <v>650</v>
      </c>
      <c r="F140" t="s">
        <v>517</v>
      </c>
      <c r="G140" t="s">
        <v>351</v>
      </c>
      <c r="H140" t="b">
        <v>1</v>
      </c>
      <c r="I140" t="s">
        <v>1804</v>
      </c>
      <c r="J140" t="s">
        <v>651</v>
      </c>
      <c r="K140" t="s">
        <v>304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27">
        <v>3845630030824</v>
      </c>
      <c r="R140">
        <v>80.900000000000006</v>
      </c>
      <c r="S140">
        <v>11.5</v>
      </c>
      <c r="T140">
        <v>48.8</v>
      </c>
      <c r="U140">
        <v>83132799</v>
      </c>
      <c r="V140">
        <f t="shared" ca="1" si="6"/>
        <v>76.400405347745689</v>
      </c>
      <c r="W140" s="25">
        <f t="shared" ca="1" si="7"/>
        <v>46215</v>
      </c>
      <c r="X140" s="25">
        <f t="shared" si="8"/>
        <v>18310</v>
      </c>
    </row>
    <row r="141" spans="1:24" x14ac:dyDescent="0.25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1804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27">
        <v>19910000000000</v>
      </c>
      <c r="R141">
        <v>77</v>
      </c>
      <c r="S141">
        <v>9.4</v>
      </c>
      <c r="T141">
        <v>59.2</v>
      </c>
      <c r="U141">
        <v>1397715000</v>
      </c>
      <c r="V141">
        <f t="shared" ca="1" si="6"/>
        <v>62.526356959714917</v>
      </c>
      <c r="W141" s="25">
        <f t="shared" ca="1" si="7"/>
        <v>46215</v>
      </c>
      <c r="X141" s="25">
        <f t="shared" si="8"/>
        <v>23377</v>
      </c>
    </row>
    <row r="142" spans="1:24" x14ac:dyDescent="0.25">
      <c r="A142">
        <v>151</v>
      </c>
      <c r="B142" t="s">
        <v>21</v>
      </c>
      <c r="C142" t="s">
        <v>659</v>
      </c>
      <c r="D142" t="s">
        <v>32</v>
      </c>
      <c r="E142" t="s">
        <v>660</v>
      </c>
      <c r="F142" t="s">
        <v>661</v>
      </c>
      <c r="G142" t="s">
        <v>21</v>
      </c>
      <c r="H142" t="b">
        <v>1</v>
      </c>
      <c r="I142" t="s">
        <v>1804</v>
      </c>
      <c r="J142" t="s">
        <v>662</v>
      </c>
      <c r="K142" t="s">
        <v>64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27">
        <v>21427700000000</v>
      </c>
      <c r="R142">
        <v>78.5</v>
      </c>
      <c r="S142">
        <v>9.6</v>
      </c>
      <c r="T142">
        <v>36.6</v>
      </c>
      <c r="U142">
        <v>328239523</v>
      </c>
      <c r="V142">
        <f t="shared" ca="1" si="6"/>
        <v>53.973318731644184</v>
      </c>
      <c r="W142" s="25">
        <f t="shared" ca="1" si="7"/>
        <v>46215</v>
      </c>
      <c r="X142" s="25">
        <f t="shared" si="8"/>
        <v>26501</v>
      </c>
    </row>
    <row r="143" spans="1:24" x14ac:dyDescent="0.25">
      <c r="A143">
        <v>153</v>
      </c>
      <c r="B143" t="s">
        <v>49</v>
      </c>
      <c r="C143" t="s">
        <v>663</v>
      </c>
      <c r="D143" t="s">
        <v>32</v>
      </c>
      <c r="E143" t="s">
        <v>61</v>
      </c>
      <c r="F143" t="s">
        <v>204</v>
      </c>
      <c r="G143" t="s">
        <v>49</v>
      </c>
      <c r="H143" t="b">
        <v>1</v>
      </c>
      <c r="I143" t="s">
        <v>1804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27">
        <v>21427700000000</v>
      </c>
      <c r="R143">
        <v>78.5</v>
      </c>
      <c r="S143">
        <v>9.6</v>
      </c>
      <c r="T143">
        <v>36.6</v>
      </c>
      <c r="U143">
        <v>328239523</v>
      </c>
      <c r="V143">
        <f t="shared" ca="1" si="6"/>
        <v>77.77892912840062</v>
      </c>
      <c r="W143" s="25">
        <f t="shared" ca="1" si="7"/>
        <v>46215</v>
      </c>
      <c r="X143" s="25">
        <f t="shared" si="8"/>
        <v>17806</v>
      </c>
    </row>
    <row r="144" spans="1:24" x14ac:dyDescent="0.25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668</v>
      </c>
      <c r="G144" t="s">
        <v>250</v>
      </c>
      <c r="H144" t="b">
        <v>1</v>
      </c>
      <c r="I144" t="s">
        <v>1804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27">
        <v>395098666122</v>
      </c>
      <c r="R144">
        <v>82.8</v>
      </c>
      <c r="S144">
        <v>23.1</v>
      </c>
      <c r="T144">
        <v>25.3</v>
      </c>
      <c r="U144">
        <v>9053300</v>
      </c>
      <c r="V144">
        <f t="shared" ca="1" si="6"/>
        <v>72.84186769276306</v>
      </c>
      <c r="W144" s="25">
        <f t="shared" ca="1" si="7"/>
        <v>46215</v>
      </c>
      <c r="X144" s="25">
        <f t="shared" si="8"/>
        <v>19610</v>
      </c>
    </row>
    <row r="145" spans="1:24" x14ac:dyDescent="0.25">
      <c r="A145">
        <v>153</v>
      </c>
      <c r="B145" t="s">
        <v>250</v>
      </c>
      <c r="C145" t="s">
        <v>672</v>
      </c>
      <c r="D145" t="s">
        <v>274</v>
      </c>
      <c r="E145" t="s">
        <v>673</v>
      </c>
      <c r="F145" t="s">
        <v>250</v>
      </c>
      <c r="G145" t="s">
        <v>250</v>
      </c>
      <c r="H145" t="b">
        <v>0</v>
      </c>
      <c r="I145" t="s">
        <v>1804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27">
        <v>1392680589329</v>
      </c>
      <c r="R145">
        <v>82.7</v>
      </c>
      <c r="S145">
        <v>23</v>
      </c>
      <c r="T145">
        <v>47.4</v>
      </c>
      <c r="U145">
        <v>25766605</v>
      </c>
      <c r="V145">
        <f t="shared" ca="1" si="6"/>
        <v>66.249836547891476</v>
      </c>
      <c r="W145" s="25">
        <f t="shared" ca="1" si="7"/>
        <v>46215</v>
      </c>
      <c r="X145" s="25">
        <f t="shared" si="8"/>
        <v>22017</v>
      </c>
    </row>
    <row r="146" spans="1:24" x14ac:dyDescent="0.25">
      <c r="A146">
        <v>153</v>
      </c>
      <c r="B146" t="s">
        <v>49</v>
      </c>
      <c r="C146" t="s">
        <v>676</v>
      </c>
      <c r="D146" t="s">
        <v>170</v>
      </c>
      <c r="E146" t="s">
        <v>677</v>
      </c>
      <c r="F146" t="s">
        <v>264</v>
      </c>
      <c r="G146" t="s">
        <v>49</v>
      </c>
      <c r="H146" t="b">
        <v>1</v>
      </c>
      <c r="I146" t="s">
        <v>1804</v>
      </c>
      <c r="J146" t="s">
        <v>678</v>
      </c>
      <c r="K146" t="s">
        <v>621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27">
        <v>703082435360</v>
      </c>
      <c r="R146">
        <v>83.6</v>
      </c>
      <c r="S146">
        <v>10.1</v>
      </c>
      <c r="T146">
        <v>28.8</v>
      </c>
      <c r="U146">
        <v>8574832</v>
      </c>
      <c r="V146">
        <f t="shared" ca="1" si="6"/>
        <v>61.192316184588208</v>
      </c>
      <c r="W146" s="25">
        <f t="shared" ca="1" si="7"/>
        <v>46215</v>
      </c>
      <c r="X146" s="25">
        <f t="shared" si="8"/>
        <v>23865</v>
      </c>
    </row>
    <row r="147" spans="1:24" x14ac:dyDescent="0.25">
      <c r="A147">
        <v>157</v>
      </c>
      <c r="B147" t="s">
        <v>21</v>
      </c>
      <c r="C147" t="s">
        <v>679</v>
      </c>
      <c r="D147" t="s">
        <v>680</v>
      </c>
      <c r="E147" t="s">
        <v>681</v>
      </c>
      <c r="F147" t="s">
        <v>165</v>
      </c>
      <c r="G147" t="s">
        <v>21</v>
      </c>
      <c r="H147" t="b">
        <v>1</v>
      </c>
      <c r="I147" t="s">
        <v>1804</v>
      </c>
      <c r="J147" t="s">
        <v>682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27">
        <v>2001244392042</v>
      </c>
      <c r="R147">
        <v>82.9</v>
      </c>
      <c r="S147">
        <v>24.3</v>
      </c>
      <c r="T147">
        <v>59.1</v>
      </c>
      <c r="U147">
        <v>60297396</v>
      </c>
      <c r="V147">
        <f t="shared" ca="1" si="6"/>
        <v>92.003414978803576</v>
      </c>
      <c r="W147" s="25">
        <f t="shared" ca="1" si="7"/>
        <v>46215</v>
      </c>
      <c r="X147" s="25">
        <f t="shared" si="8"/>
        <v>12611</v>
      </c>
    </row>
    <row r="148" spans="1:24" x14ac:dyDescent="0.25">
      <c r="A148">
        <v>157</v>
      </c>
      <c r="B148" t="s">
        <v>21</v>
      </c>
      <c r="C148" t="s">
        <v>685</v>
      </c>
      <c r="D148" t="s">
        <v>686</v>
      </c>
      <c r="E148" t="s">
        <v>687</v>
      </c>
      <c r="F148" t="s">
        <v>165</v>
      </c>
      <c r="G148" t="s">
        <v>21</v>
      </c>
      <c r="H148" t="b">
        <v>0</v>
      </c>
      <c r="I148" t="s">
        <v>1804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27">
        <v>351431649241</v>
      </c>
      <c r="R148">
        <v>63.9</v>
      </c>
      <c r="S148">
        <v>27.5</v>
      </c>
      <c r="T148">
        <v>29.2</v>
      </c>
      <c r="U148">
        <v>58558270</v>
      </c>
      <c r="V148">
        <f t="shared" ca="1" si="6"/>
        <v>76.112928459678571</v>
      </c>
      <c r="W148" s="25">
        <f t="shared" ca="1" si="7"/>
        <v>46215</v>
      </c>
      <c r="X148" s="25">
        <f t="shared" si="8"/>
        <v>18415</v>
      </c>
    </row>
    <row r="149" spans="1:24" x14ac:dyDescent="0.25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193</v>
      </c>
      <c r="G149" t="s">
        <v>38</v>
      </c>
      <c r="H149" t="b">
        <v>1</v>
      </c>
      <c r="I149" t="s">
        <v>1804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27">
        <v>19910000000000</v>
      </c>
      <c r="R149">
        <v>77</v>
      </c>
      <c r="S149">
        <v>9.4</v>
      </c>
      <c r="T149">
        <v>59.2</v>
      </c>
      <c r="U149">
        <v>1397715000</v>
      </c>
      <c r="V149">
        <f t="shared" ca="1" si="6"/>
        <v>54.526357708198518</v>
      </c>
      <c r="W149" s="25">
        <f t="shared" ca="1" si="7"/>
        <v>46215</v>
      </c>
      <c r="X149" s="25">
        <f t="shared" si="8"/>
        <v>26299</v>
      </c>
    </row>
    <row r="150" spans="1:24" x14ac:dyDescent="0.25">
      <c r="A150">
        <v>161</v>
      </c>
      <c r="B150" t="s">
        <v>49</v>
      </c>
      <c r="C150" t="s">
        <v>692</v>
      </c>
      <c r="D150" t="s">
        <v>32</v>
      </c>
      <c r="E150" t="s">
        <v>693</v>
      </c>
      <c r="F150" t="s">
        <v>694</v>
      </c>
      <c r="G150" t="s">
        <v>49</v>
      </c>
      <c r="H150" t="b">
        <v>0</v>
      </c>
      <c r="I150" t="s">
        <v>1804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27">
        <v>21427700000000</v>
      </c>
      <c r="R150">
        <v>78.5</v>
      </c>
      <c r="S150">
        <v>9.6</v>
      </c>
      <c r="T150">
        <v>36.6</v>
      </c>
      <c r="U150">
        <v>328239523</v>
      </c>
      <c r="V150">
        <f t="shared" ca="1" si="6"/>
        <v>86.53798767967146</v>
      </c>
      <c r="W150" s="25">
        <f t="shared" ca="1" si="7"/>
        <v>46215</v>
      </c>
      <c r="X150" s="25">
        <f t="shared" si="8"/>
        <v>14607</v>
      </c>
    </row>
    <row r="151" spans="1:24" x14ac:dyDescent="0.25">
      <c r="A151">
        <v>161</v>
      </c>
      <c r="B151" t="s">
        <v>21</v>
      </c>
      <c r="C151" t="s">
        <v>697</v>
      </c>
      <c r="D151" t="s">
        <v>32</v>
      </c>
      <c r="E151" t="s">
        <v>433</v>
      </c>
      <c r="F151" t="s">
        <v>698</v>
      </c>
      <c r="G151" t="s">
        <v>21</v>
      </c>
      <c r="H151" t="b">
        <v>1</v>
      </c>
      <c r="I151" t="s">
        <v>1803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27">
        <v>21427700000000</v>
      </c>
      <c r="R151">
        <v>78.5</v>
      </c>
      <c r="S151">
        <v>9.6</v>
      </c>
      <c r="T151">
        <v>36.6</v>
      </c>
      <c r="U151">
        <v>328239523</v>
      </c>
      <c r="V151">
        <f t="shared" ca="1" si="6"/>
        <v>89.06911657337551</v>
      </c>
      <c r="W151" s="25">
        <f t="shared" ca="1" si="7"/>
        <v>46215</v>
      </c>
      <c r="X151" s="25">
        <f t="shared" si="8"/>
        <v>13683</v>
      </c>
    </row>
    <row r="152" spans="1:24" x14ac:dyDescent="0.25">
      <c r="A152">
        <v>161</v>
      </c>
      <c r="B152" t="s">
        <v>21</v>
      </c>
      <c r="C152" t="s">
        <v>701</v>
      </c>
      <c r="D152" t="s">
        <v>67</v>
      </c>
      <c r="E152" t="s">
        <v>68</v>
      </c>
      <c r="F152" t="s">
        <v>702</v>
      </c>
      <c r="G152" t="s">
        <v>21</v>
      </c>
      <c r="H152" t="b">
        <v>0</v>
      </c>
      <c r="I152" t="s">
        <v>1804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27">
        <v>1258286717125</v>
      </c>
      <c r="R152">
        <v>75</v>
      </c>
      <c r="S152">
        <v>13.1</v>
      </c>
      <c r="T152">
        <v>55.1</v>
      </c>
      <c r="U152">
        <v>126014024</v>
      </c>
      <c r="V152">
        <f t="shared" ca="1" si="6"/>
        <v>70.729637234770706</v>
      </c>
      <c r="W152" s="25">
        <f t="shared" ca="1" si="7"/>
        <v>46215</v>
      </c>
      <c r="X152" s="25">
        <f t="shared" si="8"/>
        <v>20381</v>
      </c>
    </row>
    <row r="153" spans="1:24" x14ac:dyDescent="0.25">
      <c r="A153">
        <v>164</v>
      </c>
      <c r="B153" t="s">
        <v>59</v>
      </c>
      <c r="C153" t="s">
        <v>705</v>
      </c>
      <c r="D153" t="s">
        <v>32</v>
      </c>
      <c r="E153" t="s">
        <v>61</v>
      </c>
      <c r="F153" t="s">
        <v>135</v>
      </c>
      <c r="G153" t="s">
        <v>59</v>
      </c>
      <c r="H153" t="b">
        <v>0</v>
      </c>
      <c r="I153" t="s">
        <v>1804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27">
        <v>21427700000000</v>
      </c>
      <c r="R153">
        <v>78.5</v>
      </c>
      <c r="S153">
        <v>9.6</v>
      </c>
      <c r="T153">
        <v>36.6</v>
      </c>
      <c r="U153">
        <v>328239523</v>
      </c>
      <c r="V153">
        <f t="shared" ca="1" si="6"/>
        <v>96.934961166675976</v>
      </c>
      <c r="W153" s="25">
        <f t="shared" ca="1" si="7"/>
        <v>46215</v>
      </c>
      <c r="X153" s="25">
        <f t="shared" si="8"/>
        <v>10810</v>
      </c>
    </row>
    <row r="154" spans="1:24" x14ac:dyDescent="0.25">
      <c r="A154">
        <v>165</v>
      </c>
      <c r="B154" t="s">
        <v>590</v>
      </c>
      <c r="C154" t="s">
        <v>707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1804</v>
      </c>
      <c r="J154" t="s">
        <v>710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27">
        <v>21427700000000</v>
      </c>
      <c r="R154">
        <v>78.5</v>
      </c>
      <c r="S154">
        <v>9.6</v>
      </c>
      <c r="T154">
        <v>36.6</v>
      </c>
      <c r="U154">
        <v>328239523</v>
      </c>
      <c r="V154">
        <f t="shared" ca="1" si="6"/>
        <v>85.1019706472255</v>
      </c>
      <c r="W154" s="25">
        <f t="shared" ca="1" si="7"/>
        <v>46215</v>
      </c>
      <c r="X154" s="25">
        <f t="shared" si="8"/>
        <v>15132</v>
      </c>
    </row>
    <row r="155" spans="1:24" x14ac:dyDescent="0.25">
      <c r="A155">
        <v>165</v>
      </c>
      <c r="B155" t="s">
        <v>103</v>
      </c>
      <c r="C155" t="s">
        <v>711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1804</v>
      </c>
      <c r="J155" t="s">
        <v>714</v>
      </c>
      <c r="K155" t="s">
        <v>715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27">
        <v>1839758040766</v>
      </c>
      <c r="R155">
        <v>75.7</v>
      </c>
      <c r="S155">
        <v>14.2</v>
      </c>
      <c r="T155">
        <v>65.099999999999994</v>
      </c>
      <c r="U155">
        <v>212559417</v>
      </c>
      <c r="V155">
        <f t="shared" ca="1" si="6"/>
        <v>76.526347603470342</v>
      </c>
      <c r="W155" s="25">
        <f t="shared" ca="1" si="7"/>
        <v>46215</v>
      </c>
      <c r="X155" s="25">
        <f t="shared" si="8"/>
        <v>18264</v>
      </c>
    </row>
    <row r="156" spans="1:24" x14ac:dyDescent="0.25">
      <c r="A156">
        <v>167</v>
      </c>
      <c r="B156" t="s">
        <v>49</v>
      </c>
      <c r="C156" t="s">
        <v>717</v>
      </c>
      <c r="D156" t="s">
        <v>327</v>
      </c>
      <c r="E156" t="s">
        <v>328</v>
      </c>
      <c r="F156" t="s">
        <v>718</v>
      </c>
      <c r="G156" t="s">
        <v>49</v>
      </c>
      <c r="H156" t="b">
        <v>1</v>
      </c>
      <c r="I156" t="s">
        <v>1804</v>
      </c>
      <c r="J156" t="s">
        <v>719</v>
      </c>
      <c r="K156" t="s">
        <v>720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27">
        <v>1699876578871</v>
      </c>
      <c r="R156">
        <v>72.7</v>
      </c>
      <c r="S156">
        <v>11.4</v>
      </c>
      <c r="T156">
        <v>46.2</v>
      </c>
      <c r="U156">
        <v>144373535</v>
      </c>
      <c r="V156">
        <f t="shared" ca="1" si="6"/>
        <v>60.334694793536805</v>
      </c>
      <c r="W156" s="25">
        <f t="shared" ca="1" si="7"/>
        <v>46215</v>
      </c>
      <c r="X156" s="25">
        <f t="shared" si="8"/>
        <v>24178</v>
      </c>
    </row>
    <row r="157" spans="1:24" x14ac:dyDescent="0.25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247</v>
      </c>
      <c r="G157" t="s">
        <v>21</v>
      </c>
      <c r="H157" t="b">
        <v>1</v>
      </c>
      <c r="I157" t="s">
        <v>1804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27">
        <v>19910000000000</v>
      </c>
      <c r="R157">
        <v>77</v>
      </c>
      <c r="S157">
        <v>9.4</v>
      </c>
      <c r="T157">
        <v>59.2</v>
      </c>
      <c r="U157">
        <v>1397715000</v>
      </c>
      <c r="V157">
        <f t="shared" ca="1" si="6"/>
        <v>42.526359353113463</v>
      </c>
      <c r="W157" s="25">
        <f t="shared" ca="1" si="7"/>
        <v>46215</v>
      </c>
      <c r="X157" s="25">
        <f t="shared" si="8"/>
        <v>30682</v>
      </c>
    </row>
    <row r="158" spans="1:24" x14ac:dyDescent="0.25">
      <c r="A158">
        <v>167</v>
      </c>
      <c r="B158" t="s">
        <v>49</v>
      </c>
      <c r="C158" t="s">
        <v>723</v>
      </c>
      <c r="D158" t="s">
        <v>306</v>
      </c>
      <c r="E158" t="s">
        <v>645</v>
      </c>
      <c r="F158" t="s">
        <v>724</v>
      </c>
      <c r="G158" t="s">
        <v>49</v>
      </c>
      <c r="H158" t="b">
        <v>1</v>
      </c>
      <c r="I158" t="s">
        <v>1804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27">
        <v>421142267938</v>
      </c>
      <c r="R158">
        <v>77.8</v>
      </c>
      <c r="S158">
        <v>0.1</v>
      </c>
      <c r="T158">
        <v>15.9</v>
      </c>
      <c r="U158">
        <v>9770529</v>
      </c>
      <c r="V158">
        <f t="shared" ca="1" si="6"/>
        <v>48.836381557332167</v>
      </c>
      <c r="W158" s="25">
        <f t="shared" ca="1" si="7"/>
        <v>46215</v>
      </c>
      <c r="X158" s="25">
        <f t="shared" si="8"/>
        <v>28378</v>
      </c>
    </row>
    <row r="159" spans="1:24" x14ac:dyDescent="0.25">
      <c r="A159">
        <v>170</v>
      </c>
      <c r="B159" t="s">
        <v>49</v>
      </c>
      <c r="C159" t="s">
        <v>727</v>
      </c>
      <c r="D159" t="s">
        <v>32</v>
      </c>
      <c r="E159" t="s">
        <v>592</v>
      </c>
      <c r="F159" t="s">
        <v>728</v>
      </c>
      <c r="G159" t="s">
        <v>49</v>
      </c>
      <c r="H159" t="b">
        <v>1</v>
      </c>
      <c r="I159" t="s">
        <v>1804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27">
        <v>21427700000000</v>
      </c>
      <c r="R159">
        <v>78.5</v>
      </c>
      <c r="S159">
        <v>9.6</v>
      </c>
      <c r="T159">
        <v>36.6</v>
      </c>
      <c r="U159">
        <v>328239523</v>
      </c>
      <c r="V159">
        <f t="shared" ca="1" si="6"/>
        <v>73.614660144557206</v>
      </c>
      <c r="W159" s="25">
        <f t="shared" ca="1" si="7"/>
        <v>46215</v>
      </c>
      <c r="X159" s="25">
        <f t="shared" si="8"/>
        <v>19327</v>
      </c>
    </row>
    <row r="160" spans="1:24" x14ac:dyDescent="0.25">
      <c r="A160">
        <v>171</v>
      </c>
      <c r="B160" t="s">
        <v>38</v>
      </c>
      <c r="C160" t="s">
        <v>730</v>
      </c>
      <c r="D160" t="s">
        <v>274</v>
      </c>
      <c r="E160" t="s">
        <v>607</v>
      </c>
      <c r="F160" t="s">
        <v>731</v>
      </c>
      <c r="G160" t="s">
        <v>38</v>
      </c>
      <c r="H160" t="b">
        <v>1</v>
      </c>
      <c r="I160" t="s">
        <v>1804</v>
      </c>
      <c r="J160" t="s">
        <v>732</v>
      </c>
      <c r="K160" t="s">
        <v>733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27">
        <v>1392680589329</v>
      </c>
      <c r="R160">
        <v>82.7</v>
      </c>
      <c r="S160">
        <v>23</v>
      </c>
      <c r="T160">
        <v>47.4</v>
      </c>
      <c r="U160">
        <v>25766605</v>
      </c>
      <c r="V160">
        <f t="shared" ca="1" si="6"/>
        <v>46.650239561943877</v>
      </c>
      <c r="W160" s="25">
        <f t="shared" ca="1" si="7"/>
        <v>46215</v>
      </c>
      <c r="X160" s="25">
        <f t="shared" si="8"/>
        <v>29176</v>
      </c>
    </row>
    <row r="161" spans="1:24" x14ac:dyDescent="0.25">
      <c r="A161">
        <v>171</v>
      </c>
      <c r="B161" t="s">
        <v>351</v>
      </c>
      <c r="C161" t="s">
        <v>734</v>
      </c>
      <c r="D161" t="s">
        <v>32</v>
      </c>
      <c r="E161" t="s">
        <v>735</v>
      </c>
      <c r="F161" t="s">
        <v>548</v>
      </c>
      <c r="G161" t="s">
        <v>351</v>
      </c>
      <c r="H161" t="b">
        <v>0</v>
      </c>
      <c r="I161" t="s">
        <v>1804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27">
        <v>21427700000000</v>
      </c>
      <c r="R161">
        <v>78.5</v>
      </c>
      <c r="S161">
        <v>9.6</v>
      </c>
      <c r="T161">
        <v>36.6</v>
      </c>
      <c r="U161">
        <v>328239523</v>
      </c>
      <c r="V161">
        <f t="shared" ca="1" si="6"/>
        <v>63.896634514131669</v>
      </c>
      <c r="W161" s="25">
        <f t="shared" ca="1" si="7"/>
        <v>46215</v>
      </c>
      <c r="X161" s="25">
        <f t="shared" si="8"/>
        <v>22877</v>
      </c>
    </row>
    <row r="162" spans="1:24" x14ac:dyDescent="0.25">
      <c r="A162">
        <v>171</v>
      </c>
      <c r="B162" t="s">
        <v>38</v>
      </c>
      <c r="C162" t="s">
        <v>737</v>
      </c>
      <c r="D162" t="s">
        <v>32</v>
      </c>
      <c r="E162" t="s">
        <v>738</v>
      </c>
      <c r="F162" t="s">
        <v>739</v>
      </c>
      <c r="G162" t="s">
        <v>38</v>
      </c>
      <c r="H162" t="b">
        <v>1</v>
      </c>
      <c r="I162" t="s">
        <v>1804</v>
      </c>
      <c r="J162" t="s">
        <v>740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27">
        <v>21427700000000</v>
      </c>
      <c r="R162">
        <v>78.5</v>
      </c>
      <c r="S162">
        <v>9.6</v>
      </c>
      <c r="T162">
        <v>36.6</v>
      </c>
      <c r="U162">
        <v>328239523</v>
      </c>
      <c r="V162">
        <f t="shared" ca="1" si="6"/>
        <v>85.803568618812349</v>
      </c>
      <c r="W162" s="25">
        <f t="shared" ca="1" si="7"/>
        <v>46215</v>
      </c>
      <c r="X162" s="25">
        <f t="shared" si="8"/>
        <v>14875</v>
      </c>
    </row>
    <row r="163" spans="1:24" x14ac:dyDescent="0.25">
      <c r="A163">
        <v>171</v>
      </c>
      <c r="B163" t="s">
        <v>292</v>
      </c>
      <c r="C163" t="s">
        <v>741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1804</v>
      </c>
      <c r="J163" t="s">
        <v>743</v>
      </c>
      <c r="K163" t="s">
        <v>744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27">
        <v>21427700000000</v>
      </c>
      <c r="R163">
        <v>78.5</v>
      </c>
      <c r="S163">
        <v>9.6</v>
      </c>
      <c r="T163">
        <v>36.6</v>
      </c>
      <c r="U163">
        <v>328239523</v>
      </c>
      <c r="V163">
        <f t="shared" ca="1" si="6"/>
        <v>67.353867214236828</v>
      </c>
      <c r="W163" s="25">
        <f t="shared" ca="1" si="7"/>
        <v>46215</v>
      </c>
      <c r="X163" s="25">
        <f t="shared" si="8"/>
        <v>21614</v>
      </c>
    </row>
    <row r="164" spans="1:24" x14ac:dyDescent="0.25">
      <c r="A164">
        <v>171</v>
      </c>
      <c r="B164" t="s">
        <v>250</v>
      </c>
      <c r="C164" t="s">
        <v>745</v>
      </c>
      <c r="D164" t="s">
        <v>327</v>
      </c>
      <c r="E164" t="s">
        <v>746</v>
      </c>
      <c r="F164" t="s">
        <v>449</v>
      </c>
      <c r="G164" t="s">
        <v>250</v>
      </c>
      <c r="H164" t="b">
        <v>1</v>
      </c>
      <c r="I164" t="s">
        <v>1804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27">
        <v>1699876578871</v>
      </c>
      <c r="R164">
        <v>72.7</v>
      </c>
      <c r="S164">
        <v>11.4</v>
      </c>
      <c r="T164">
        <v>46.2</v>
      </c>
      <c r="U164">
        <v>144373535</v>
      </c>
      <c r="V164">
        <f t="shared" ca="1" si="6"/>
        <v>77.743337376537866</v>
      </c>
      <c r="W164" s="25">
        <f t="shared" ca="1" si="7"/>
        <v>46215</v>
      </c>
      <c r="X164" s="25">
        <f t="shared" si="8"/>
        <v>17819</v>
      </c>
    </row>
    <row r="165" spans="1:24" x14ac:dyDescent="0.25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112</v>
      </c>
      <c r="G165" t="s">
        <v>38</v>
      </c>
      <c r="H165" t="b">
        <v>1</v>
      </c>
      <c r="I165" t="s">
        <v>1804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27">
        <v>372062527489</v>
      </c>
      <c r="R165">
        <v>83.1</v>
      </c>
      <c r="S165">
        <v>13.1</v>
      </c>
      <c r="T165">
        <v>21</v>
      </c>
      <c r="U165">
        <v>5703569</v>
      </c>
      <c r="V165">
        <f t="shared" ca="1" si="6"/>
        <v>44.315526892187876</v>
      </c>
      <c r="W165" s="25">
        <f t="shared" ca="1" si="7"/>
        <v>46215</v>
      </c>
      <c r="X165" s="25">
        <f t="shared" si="8"/>
        <v>30029</v>
      </c>
    </row>
    <row r="166" spans="1:24" x14ac:dyDescent="0.25">
      <c r="A166">
        <v>171</v>
      </c>
      <c r="B166" t="s">
        <v>30</v>
      </c>
      <c r="C166" t="s">
        <v>752</v>
      </c>
      <c r="D166" t="s">
        <v>158</v>
      </c>
      <c r="E166" t="s">
        <v>753</v>
      </c>
      <c r="F166" t="s">
        <v>635</v>
      </c>
      <c r="G166" t="s">
        <v>30</v>
      </c>
      <c r="H166" t="b">
        <v>0</v>
      </c>
      <c r="I166" t="s">
        <v>1804</v>
      </c>
      <c r="J166" t="s">
        <v>754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27">
        <v>3845630030824</v>
      </c>
      <c r="R166">
        <v>80.900000000000006</v>
      </c>
      <c r="S166">
        <v>11.5</v>
      </c>
      <c r="T166">
        <v>48.8</v>
      </c>
      <c r="U166">
        <v>83132799</v>
      </c>
      <c r="V166">
        <f t="shared" ca="1" si="6"/>
        <v>61.726913215418712</v>
      </c>
      <c r="W166" s="25">
        <f t="shared" ca="1" si="7"/>
        <v>46215</v>
      </c>
      <c r="X166" s="25">
        <f t="shared" si="8"/>
        <v>23669</v>
      </c>
    </row>
    <row r="167" spans="1:24" x14ac:dyDescent="0.25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124</v>
      </c>
      <c r="G167" t="s">
        <v>21</v>
      </c>
      <c r="H167" t="b">
        <v>0</v>
      </c>
      <c r="I167" t="s">
        <v>1803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27">
        <v>21427700000000</v>
      </c>
      <c r="R167">
        <v>78.5</v>
      </c>
      <c r="S167">
        <v>9.6</v>
      </c>
      <c r="T167">
        <v>36.6</v>
      </c>
      <c r="U167">
        <v>328239523</v>
      </c>
      <c r="V167">
        <f t="shared" ca="1" si="6"/>
        <v>77.422303345150766</v>
      </c>
      <c r="W167" s="25">
        <f t="shared" ca="1" si="7"/>
        <v>46215</v>
      </c>
      <c r="X167" s="25">
        <f t="shared" si="8"/>
        <v>17937</v>
      </c>
    </row>
    <row r="168" spans="1:24" x14ac:dyDescent="0.25">
      <c r="A168">
        <v>179</v>
      </c>
      <c r="B168" t="s">
        <v>38</v>
      </c>
      <c r="C168" t="s">
        <v>758</v>
      </c>
      <c r="D168" t="s">
        <v>274</v>
      </c>
      <c r="E168" t="s">
        <v>607</v>
      </c>
      <c r="F168" t="s">
        <v>731</v>
      </c>
      <c r="G168" t="s">
        <v>38</v>
      </c>
      <c r="H168" t="b">
        <v>1</v>
      </c>
      <c r="I168" t="s">
        <v>1804</v>
      </c>
      <c r="J168" t="s">
        <v>759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27">
        <v>1392680589329</v>
      </c>
      <c r="R168">
        <v>82.7</v>
      </c>
      <c r="S168">
        <v>23</v>
      </c>
      <c r="T168">
        <v>47.4</v>
      </c>
      <c r="U168">
        <v>25766605</v>
      </c>
      <c r="V168">
        <f t="shared" ca="1" si="6"/>
        <v>46.568104038329913</v>
      </c>
      <c r="W168" s="25">
        <f t="shared" ca="1" si="7"/>
        <v>46215</v>
      </c>
      <c r="X168" s="25">
        <f t="shared" si="8"/>
        <v>29206</v>
      </c>
    </row>
    <row r="169" spans="1:24" x14ac:dyDescent="0.25">
      <c r="A169">
        <v>179</v>
      </c>
      <c r="B169" t="s">
        <v>72</v>
      </c>
      <c r="C169" t="s">
        <v>760</v>
      </c>
      <c r="D169" t="s">
        <v>761</v>
      </c>
      <c r="E169" t="s">
        <v>762</v>
      </c>
      <c r="F169" t="s">
        <v>763</v>
      </c>
      <c r="G169" t="s">
        <v>72</v>
      </c>
      <c r="H169" t="b">
        <v>0</v>
      </c>
      <c r="I169" t="s">
        <v>1804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27">
        <v>364701517788</v>
      </c>
      <c r="R169">
        <v>76</v>
      </c>
      <c r="S169">
        <v>12</v>
      </c>
      <c r="T169">
        <v>38.700000000000003</v>
      </c>
      <c r="U169">
        <v>32447385</v>
      </c>
      <c r="V169">
        <f t="shared" ca="1" si="6"/>
        <v>84.915793830186871</v>
      </c>
      <c r="W169" s="25">
        <f t="shared" ca="1" si="7"/>
        <v>46215</v>
      </c>
      <c r="X169" s="25">
        <f t="shared" si="8"/>
        <v>15200</v>
      </c>
    </row>
    <row r="170" spans="1:24" x14ac:dyDescent="0.25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1803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27">
        <v>19910000000000</v>
      </c>
      <c r="R170">
        <v>77</v>
      </c>
      <c r="S170">
        <v>9.4</v>
      </c>
      <c r="T170">
        <v>59.2</v>
      </c>
      <c r="U170">
        <v>1397715000</v>
      </c>
      <c r="V170">
        <f t="shared" ca="1" si="6"/>
        <v>62.526356959714917</v>
      </c>
      <c r="W170" s="25">
        <f t="shared" ca="1" si="7"/>
        <v>46215</v>
      </c>
      <c r="X170" s="25">
        <f t="shared" si="8"/>
        <v>23377</v>
      </c>
    </row>
    <row r="171" spans="1:24" x14ac:dyDescent="0.25">
      <c r="A171">
        <v>182</v>
      </c>
      <c r="B171" t="s">
        <v>292</v>
      </c>
      <c r="C171" t="s">
        <v>770</v>
      </c>
      <c r="D171" t="s">
        <v>32</v>
      </c>
      <c r="E171" t="s">
        <v>771</v>
      </c>
      <c r="F171" t="s">
        <v>403</v>
      </c>
      <c r="G171" t="s">
        <v>292</v>
      </c>
      <c r="H171" t="b">
        <v>1</v>
      </c>
      <c r="I171" t="s">
        <v>1804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27">
        <v>21427700000000</v>
      </c>
      <c r="R171">
        <v>78.5</v>
      </c>
      <c r="S171">
        <v>9.6</v>
      </c>
      <c r="T171">
        <v>36.6</v>
      </c>
      <c r="U171">
        <v>328239523</v>
      </c>
      <c r="V171">
        <f t="shared" ca="1" si="6"/>
        <v>88.345648629525954</v>
      </c>
      <c r="W171" s="25">
        <f t="shared" ca="1" si="7"/>
        <v>46215</v>
      </c>
      <c r="X171" s="25">
        <f t="shared" si="8"/>
        <v>13947</v>
      </c>
    </row>
    <row r="172" spans="1:24" x14ac:dyDescent="0.25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1804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27">
        <v>19910000000000</v>
      </c>
      <c r="R172">
        <v>77</v>
      </c>
      <c r="S172">
        <v>9.4</v>
      </c>
      <c r="T172">
        <v>59.2</v>
      </c>
      <c r="U172">
        <v>1397715000</v>
      </c>
      <c r="V172">
        <f t="shared" ca="1" si="6"/>
        <v>78.110206203430948</v>
      </c>
      <c r="W172" s="25">
        <f t="shared" ca="1" si="7"/>
        <v>46215</v>
      </c>
      <c r="X172" s="25">
        <f t="shared" si="8"/>
        <v>17685</v>
      </c>
    </row>
    <row r="173" spans="1:24" x14ac:dyDescent="0.25">
      <c r="A173">
        <v>184</v>
      </c>
      <c r="B173" t="s">
        <v>72</v>
      </c>
      <c r="C173" t="s">
        <v>776</v>
      </c>
      <c r="D173" t="s">
        <v>306</v>
      </c>
      <c r="E173" t="s">
        <v>645</v>
      </c>
      <c r="F173" t="s">
        <v>144</v>
      </c>
      <c r="G173" t="s">
        <v>72</v>
      </c>
      <c r="H173" t="b">
        <v>1</v>
      </c>
      <c r="I173" t="s">
        <v>1804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27">
        <v>421142267938</v>
      </c>
      <c r="R173">
        <v>77.8</v>
      </c>
      <c r="S173">
        <v>0.1</v>
      </c>
      <c r="T173">
        <v>15.9</v>
      </c>
      <c r="U173">
        <v>9770529</v>
      </c>
      <c r="V173">
        <f t="shared" ca="1" si="6"/>
        <v>77.50170241145706</v>
      </c>
      <c r="W173" s="25">
        <f t="shared" ca="1" si="7"/>
        <v>46215</v>
      </c>
      <c r="X173" s="25">
        <f t="shared" si="8"/>
        <v>17908</v>
      </c>
    </row>
    <row r="174" spans="1:24" x14ac:dyDescent="0.25">
      <c r="A174">
        <v>184</v>
      </c>
      <c r="B174" t="s">
        <v>21</v>
      </c>
      <c r="C174" t="s">
        <v>778</v>
      </c>
      <c r="D174" t="s">
        <v>170</v>
      </c>
      <c r="E174" t="s">
        <v>779</v>
      </c>
      <c r="F174" t="s">
        <v>780</v>
      </c>
      <c r="G174" t="s">
        <v>21</v>
      </c>
      <c r="H174" t="b">
        <v>0</v>
      </c>
      <c r="I174" t="s">
        <v>1804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27">
        <v>703082435360</v>
      </c>
      <c r="R174">
        <v>83.6</v>
      </c>
      <c r="S174">
        <v>10.1</v>
      </c>
      <c r="T174">
        <v>28.8</v>
      </c>
      <c r="U174">
        <v>8574832</v>
      </c>
      <c r="V174">
        <f t="shared" ca="1" si="6"/>
        <v>83.449691991786452</v>
      </c>
      <c r="W174" s="25">
        <f t="shared" ca="1" si="7"/>
        <v>46215</v>
      </c>
      <c r="X174" s="25">
        <f t="shared" si="8"/>
        <v>15735</v>
      </c>
    </row>
    <row r="175" spans="1:24" x14ac:dyDescent="0.25">
      <c r="A175">
        <v>184</v>
      </c>
      <c r="B175" t="s">
        <v>168</v>
      </c>
      <c r="C175" t="s">
        <v>783</v>
      </c>
      <c r="D175" t="s">
        <v>23</v>
      </c>
      <c r="E175" t="s">
        <v>784</v>
      </c>
      <c r="F175" t="s">
        <v>172</v>
      </c>
      <c r="G175" t="s">
        <v>168</v>
      </c>
      <c r="H175" t="b">
        <v>0</v>
      </c>
      <c r="I175" t="s">
        <v>1804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27">
        <v>2715518274227</v>
      </c>
      <c r="R175">
        <v>82.5</v>
      </c>
      <c r="S175">
        <v>24.2</v>
      </c>
      <c r="T175">
        <v>60.7</v>
      </c>
      <c r="U175">
        <v>67059887</v>
      </c>
      <c r="V175">
        <f t="shared" ca="1" si="6"/>
        <v>54.921286789869953</v>
      </c>
      <c r="W175" s="25">
        <f t="shared" ca="1" si="7"/>
        <v>46215</v>
      </c>
      <c r="X175" s="25">
        <f t="shared" si="8"/>
        <v>26155</v>
      </c>
    </row>
    <row r="176" spans="1:24" x14ac:dyDescent="0.25">
      <c r="A176">
        <v>184</v>
      </c>
      <c r="B176" t="s">
        <v>168</v>
      </c>
      <c r="C176" t="s">
        <v>787</v>
      </c>
      <c r="D176" t="s">
        <v>23</v>
      </c>
      <c r="E176" t="s">
        <v>784</v>
      </c>
      <c r="F176" t="s">
        <v>172</v>
      </c>
      <c r="G176" t="s">
        <v>168</v>
      </c>
      <c r="H176" t="b">
        <v>0</v>
      </c>
      <c r="I176" t="s">
        <v>1804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27">
        <v>2715518274227</v>
      </c>
      <c r="R176">
        <v>82.5</v>
      </c>
      <c r="S176">
        <v>24.2</v>
      </c>
      <c r="T176">
        <v>60.7</v>
      </c>
      <c r="U176">
        <v>67059887</v>
      </c>
      <c r="V176">
        <f t="shared" ca="1" si="6"/>
        <v>56.35933522263317</v>
      </c>
      <c r="W176" s="25">
        <f t="shared" ca="1" si="7"/>
        <v>46215</v>
      </c>
      <c r="X176" s="25">
        <f t="shared" si="8"/>
        <v>25630</v>
      </c>
    </row>
    <row r="177" spans="1:24" x14ac:dyDescent="0.25">
      <c r="A177">
        <v>184</v>
      </c>
      <c r="B177" t="s">
        <v>168</v>
      </c>
      <c r="C177" t="s">
        <v>789</v>
      </c>
      <c r="D177" t="s">
        <v>23</v>
      </c>
      <c r="E177" t="s">
        <v>784</v>
      </c>
      <c r="F177" t="s">
        <v>172</v>
      </c>
      <c r="G177" t="s">
        <v>168</v>
      </c>
      <c r="H177" t="b">
        <v>0</v>
      </c>
      <c r="I177" t="s">
        <v>1803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27">
        <v>2715518274227</v>
      </c>
      <c r="R177">
        <v>82.5</v>
      </c>
      <c r="S177">
        <v>24.2</v>
      </c>
      <c r="T177">
        <v>60.7</v>
      </c>
      <c r="U177">
        <v>67059887</v>
      </c>
      <c r="V177">
        <f t="shared" ca="1" si="6"/>
        <v>58.441484918793506</v>
      </c>
      <c r="W177" s="25">
        <f t="shared" ca="1" si="7"/>
        <v>46215</v>
      </c>
      <c r="X177" s="25">
        <f t="shared" si="8"/>
        <v>24869</v>
      </c>
    </row>
    <row r="178" spans="1:24" x14ac:dyDescent="0.25">
      <c r="A178">
        <v>184</v>
      </c>
      <c r="B178" t="s">
        <v>49</v>
      </c>
      <c r="C178" t="s">
        <v>792</v>
      </c>
      <c r="D178" t="s">
        <v>497</v>
      </c>
      <c r="E178" t="s">
        <v>498</v>
      </c>
      <c r="F178" t="s">
        <v>264</v>
      </c>
      <c r="G178" t="s">
        <v>49</v>
      </c>
      <c r="H178" t="b">
        <v>1</v>
      </c>
      <c r="I178" t="s">
        <v>1804</v>
      </c>
      <c r="J178" t="s">
        <v>793</v>
      </c>
      <c r="K178" t="s">
        <v>794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27">
        <v>530832908738</v>
      </c>
      <c r="R178">
        <v>82.5</v>
      </c>
      <c r="S178">
        <v>27.9</v>
      </c>
      <c r="T178">
        <v>49.1</v>
      </c>
      <c r="U178">
        <v>10285453</v>
      </c>
      <c r="V178">
        <f t="shared" ca="1" si="6"/>
        <v>79.15947980835044</v>
      </c>
      <c r="W178" s="25">
        <f t="shared" ca="1" si="7"/>
        <v>46215</v>
      </c>
      <c r="X178" s="25">
        <f t="shared" si="8"/>
        <v>17302</v>
      </c>
    </row>
    <row r="179" spans="1:24" x14ac:dyDescent="0.25">
      <c r="A179">
        <v>190</v>
      </c>
      <c r="B179" t="s">
        <v>250</v>
      </c>
      <c r="C179" t="s">
        <v>795</v>
      </c>
      <c r="D179" t="s">
        <v>327</v>
      </c>
      <c r="E179" t="s">
        <v>328</v>
      </c>
      <c r="F179" t="s">
        <v>796</v>
      </c>
      <c r="G179" t="s">
        <v>250</v>
      </c>
      <c r="H179" t="b">
        <v>1</v>
      </c>
      <c r="I179" t="s">
        <v>1804</v>
      </c>
      <c r="J179" t="s">
        <v>797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27">
        <v>1699876578871</v>
      </c>
      <c r="R179">
        <v>72.7</v>
      </c>
      <c r="S179">
        <v>11.4</v>
      </c>
      <c r="T179">
        <v>46.2</v>
      </c>
      <c r="U179">
        <v>144373535</v>
      </c>
      <c r="V179">
        <f t="shared" ca="1" si="6"/>
        <v>66.299117358613927</v>
      </c>
      <c r="W179" s="25">
        <f t="shared" ca="1" si="7"/>
        <v>46215</v>
      </c>
      <c r="X179" s="25">
        <f t="shared" si="8"/>
        <v>21999</v>
      </c>
    </row>
    <row r="180" spans="1:24" x14ac:dyDescent="0.25">
      <c r="A180">
        <v>190</v>
      </c>
      <c r="B180" t="s">
        <v>49</v>
      </c>
      <c r="C180" t="s">
        <v>799</v>
      </c>
      <c r="D180" t="s">
        <v>800</v>
      </c>
      <c r="E180" t="s">
        <v>801</v>
      </c>
      <c r="F180" t="s">
        <v>802</v>
      </c>
      <c r="G180" t="s">
        <v>49</v>
      </c>
      <c r="H180" t="b">
        <v>1</v>
      </c>
      <c r="I180" t="s">
        <v>1804</v>
      </c>
      <c r="J180" t="s">
        <v>803</v>
      </c>
      <c r="K180" t="s">
        <v>64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27">
        <v>2029000000000</v>
      </c>
      <c r="R180">
        <v>82.6</v>
      </c>
      <c r="S180">
        <v>15.6</v>
      </c>
      <c r="T180">
        <v>33.200000000000003</v>
      </c>
      <c r="U180">
        <v>51709098</v>
      </c>
      <c r="V180">
        <f t="shared" ca="1" si="6"/>
        <v>62.778918548939082</v>
      </c>
      <c r="W180" s="25">
        <f t="shared" ca="1" si="7"/>
        <v>46215</v>
      </c>
      <c r="X180" s="25">
        <f t="shared" si="8"/>
        <v>23285</v>
      </c>
    </row>
    <row r="181" spans="1:24" x14ac:dyDescent="0.25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806</v>
      </c>
      <c r="G181" t="s">
        <v>38</v>
      </c>
      <c r="H181" t="b">
        <v>1</v>
      </c>
      <c r="I181" t="s">
        <v>1804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27">
        <v>19910000000000</v>
      </c>
      <c r="R181">
        <v>77</v>
      </c>
      <c r="S181">
        <v>9.4</v>
      </c>
      <c r="T181">
        <v>59.2</v>
      </c>
      <c r="U181">
        <v>1397715000</v>
      </c>
      <c r="V181">
        <f t="shared" ca="1" si="6"/>
        <v>56.570808157099698</v>
      </c>
      <c r="W181" s="25">
        <f t="shared" ca="1" si="7"/>
        <v>46215</v>
      </c>
      <c r="X181" s="25">
        <f t="shared" si="8"/>
        <v>25553</v>
      </c>
    </row>
    <row r="182" spans="1:24" x14ac:dyDescent="0.25">
      <c r="A182">
        <v>190</v>
      </c>
      <c r="B182" t="s">
        <v>250</v>
      </c>
      <c r="C182" t="s">
        <v>809</v>
      </c>
      <c r="D182" t="s">
        <v>158</v>
      </c>
      <c r="E182" t="s">
        <v>810</v>
      </c>
      <c r="F182" t="s">
        <v>250</v>
      </c>
      <c r="G182" t="s">
        <v>250</v>
      </c>
      <c r="H182" t="b">
        <v>0</v>
      </c>
      <c r="I182" t="s">
        <v>1804</v>
      </c>
      <c r="J182" t="s">
        <v>811</v>
      </c>
      <c r="K182" t="s">
        <v>812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27">
        <v>3845630030824</v>
      </c>
      <c r="R182">
        <v>80.900000000000006</v>
      </c>
      <c r="S182">
        <v>11.5</v>
      </c>
      <c r="T182">
        <v>48.8</v>
      </c>
      <c r="U182">
        <v>83132799</v>
      </c>
      <c r="V182">
        <f t="shared" ca="1" si="6"/>
        <v>79.907588304884229</v>
      </c>
      <c r="W182" s="25">
        <f t="shared" ca="1" si="7"/>
        <v>46215</v>
      </c>
      <c r="X182" s="25">
        <f t="shared" si="8"/>
        <v>17029</v>
      </c>
    </row>
    <row r="183" spans="1:24" x14ac:dyDescent="0.25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517</v>
      </c>
      <c r="G183" t="s">
        <v>351</v>
      </c>
      <c r="H183" t="b">
        <v>1</v>
      </c>
      <c r="I183" t="s">
        <v>1804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27">
        <v>19910000000000</v>
      </c>
      <c r="R183">
        <v>77</v>
      </c>
      <c r="S183">
        <v>9.4</v>
      </c>
      <c r="T183">
        <v>59.2</v>
      </c>
      <c r="U183">
        <v>1397715000</v>
      </c>
      <c r="V183">
        <f t="shared" ca="1" si="6"/>
        <v>67.861042774382994</v>
      </c>
      <c r="W183" s="25">
        <f t="shared" ca="1" si="7"/>
        <v>46215</v>
      </c>
      <c r="X183" s="25">
        <f t="shared" si="8"/>
        <v>21429</v>
      </c>
    </row>
    <row r="184" spans="1:24" x14ac:dyDescent="0.25">
      <c r="A184">
        <v>195</v>
      </c>
      <c r="B184" t="s">
        <v>38</v>
      </c>
      <c r="C184" t="s">
        <v>817</v>
      </c>
      <c r="D184" t="s">
        <v>32</v>
      </c>
      <c r="E184" t="s">
        <v>818</v>
      </c>
      <c r="F184" t="s">
        <v>819</v>
      </c>
      <c r="G184" t="s">
        <v>38</v>
      </c>
      <c r="H184" t="b">
        <v>0</v>
      </c>
      <c r="I184" t="s">
        <v>1804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27">
        <v>21427700000000</v>
      </c>
      <c r="R184">
        <v>78.5</v>
      </c>
      <c r="S184">
        <v>9.6</v>
      </c>
      <c r="T184">
        <v>36.6</v>
      </c>
      <c r="U184">
        <v>328239523</v>
      </c>
      <c r="V184">
        <f t="shared" ca="1" si="6"/>
        <v>73.962364021318535</v>
      </c>
      <c r="W184" s="25">
        <f t="shared" ca="1" si="7"/>
        <v>46215</v>
      </c>
      <c r="X184" s="25">
        <f t="shared" si="8"/>
        <v>19200</v>
      </c>
    </row>
    <row r="185" spans="1:24" x14ac:dyDescent="0.25">
      <c r="A185">
        <v>195</v>
      </c>
      <c r="B185" t="s">
        <v>292</v>
      </c>
      <c r="C185" t="s">
        <v>821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1804</v>
      </c>
      <c r="J185" t="s">
        <v>824</v>
      </c>
      <c r="K185" t="s">
        <v>825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27">
        <v>19910000000000</v>
      </c>
      <c r="R185">
        <v>77</v>
      </c>
      <c r="S185">
        <v>9.4</v>
      </c>
      <c r="T185">
        <v>59.2</v>
      </c>
      <c r="U185">
        <v>1397715000</v>
      </c>
      <c r="V185">
        <f t="shared" ca="1" si="6"/>
        <v>73.85832664087026</v>
      </c>
      <c r="W185" s="25">
        <f t="shared" ca="1" si="7"/>
        <v>46215</v>
      </c>
      <c r="X185" s="25">
        <f t="shared" si="8"/>
        <v>19238</v>
      </c>
    </row>
    <row r="186" spans="1:24" x14ac:dyDescent="0.25">
      <c r="A186">
        <v>195</v>
      </c>
      <c r="B186" t="s">
        <v>250</v>
      </c>
      <c r="C186" t="s">
        <v>826</v>
      </c>
      <c r="D186" t="s">
        <v>105</v>
      </c>
      <c r="E186" t="s">
        <v>827</v>
      </c>
      <c r="F186" t="s">
        <v>348</v>
      </c>
      <c r="G186" t="s">
        <v>250</v>
      </c>
      <c r="H186" t="b">
        <v>1</v>
      </c>
      <c r="I186" t="s">
        <v>1804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27">
        <v>19910000000000</v>
      </c>
      <c r="R186">
        <v>77</v>
      </c>
      <c r="S186">
        <v>9.4</v>
      </c>
      <c r="T186">
        <v>59.2</v>
      </c>
      <c r="U186">
        <v>1397715000</v>
      </c>
      <c r="V186">
        <f t="shared" ca="1" si="6"/>
        <v>70.362086916284269</v>
      </c>
      <c r="W186" s="25">
        <f t="shared" ca="1" si="7"/>
        <v>46215</v>
      </c>
      <c r="X186" s="25">
        <f t="shared" si="8"/>
        <v>20515</v>
      </c>
    </row>
    <row r="187" spans="1:24" x14ac:dyDescent="0.25">
      <c r="A187">
        <v>195</v>
      </c>
      <c r="B187" t="s">
        <v>103</v>
      </c>
      <c r="C187" t="s">
        <v>830</v>
      </c>
      <c r="D187" t="s">
        <v>32</v>
      </c>
      <c r="E187" t="s">
        <v>831</v>
      </c>
      <c r="F187" t="s">
        <v>185</v>
      </c>
      <c r="G187" t="s">
        <v>103</v>
      </c>
      <c r="H187" t="b">
        <v>0</v>
      </c>
      <c r="I187" t="s">
        <v>1803</v>
      </c>
      <c r="J187" t="s">
        <v>186</v>
      </c>
      <c r="K187" t="s">
        <v>832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27">
        <v>21427700000000</v>
      </c>
      <c r="R187">
        <v>78.5</v>
      </c>
      <c r="S187">
        <v>9.6</v>
      </c>
      <c r="T187">
        <v>36.6</v>
      </c>
      <c r="U187">
        <v>328239523</v>
      </c>
      <c r="V187">
        <f t="shared" ca="1" si="6"/>
        <v>61.95415236191387</v>
      </c>
      <c r="W187" s="25">
        <f t="shared" ca="1" si="7"/>
        <v>46215</v>
      </c>
      <c r="X187" s="25">
        <f t="shared" si="8"/>
        <v>23586</v>
      </c>
    </row>
    <row r="188" spans="1:24" x14ac:dyDescent="0.25">
      <c r="A188">
        <v>195</v>
      </c>
      <c r="B188" t="s">
        <v>103</v>
      </c>
      <c r="C188" t="s">
        <v>833</v>
      </c>
      <c r="D188" t="s">
        <v>32</v>
      </c>
      <c r="E188" t="s">
        <v>834</v>
      </c>
      <c r="F188" t="s">
        <v>185</v>
      </c>
      <c r="G188" t="s">
        <v>103</v>
      </c>
      <c r="H188" t="b">
        <v>0</v>
      </c>
      <c r="I188" t="s">
        <v>1803</v>
      </c>
      <c r="J188" t="s">
        <v>186</v>
      </c>
      <c r="K188" t="s">
        <v>835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27">
        <v>21427700000000</v>
      </c>
      <c r="R188">
        <v>78.5</v>
      </c>
      <c r="S188">
        <v>9.6</v>
      </c>
      <c r="T188">
        <v>36.6</v>
      </c>
      <c r="U188">
        <v>328239523</v>
      </c>
      <c r="V188">
        <f t="shared" ca="1" si="6"/>
        <v>65.943200392285064</v>
      </c>
      <c r="W188" s="25">
        <f t="shared" ca="1" si="7"/>
        <v>46215</v>
      </c>
      <c r="X188" s="25">
        <f t="shared" si="8"/>
        <v>22129</v>
      </c>
    </row>
    <row r="189" spans="1:24" x14ac:dyDescent="0.25">
      <c r="A189">
        <v>195</v>
      </c>
      <c r="B189" t="s">
        <v>103</v>
      </c>
      <c r="C189" t="s">
        <v>836</v>
      </c>
      <c r="D189" t="s">
        <v>32</v>
      </c>
      <c r="E189" t="s">
        <v>61</v>
      </c>
      <c r="F189" t="s">
        <v>185</v>
      </c>
      <c r="G189" t="s">
        <v>103</v>
      </c>
      <c r="H189" t="b">
        <v>0</v>
      </c>
      <c r="I189" t="s">
        <v>1803</v>
      </c>
      <c r="J189" t="s">
        <v>186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27">
        <v>21427700000000</v>
      </c>
      <c r="R189">
        <v>78.5</v>
      </c>
      <c r="S189">
        <v>9.6</v>
      </c>
      <c r="T189">
        <v>36.6</v>
      </c>
      <c r="U189">
        <v>328239523</v>
      </c>
      <c r="V189">
        <f t="shared" ca="1" si="6"/>
        <v>67.457905544147849</v>
      </c>
      <c r="W189" s="25">
        <f t="shared" ca="1" si="7"/>
        <v>46215</v>
      </c>
      <c r="X189" s="25">
        <f t="shared" si="8"/>
        <v>21576</v>
      </c>
    </row>
    <row r="190" spans="1:24" x14ac:dyDescent="0.25">
      <c r="A190">
        <v>195</v>
      </c>
      <c r="B190" t="s">
        <v>103</v>
      </c>
      <c r="C190" t="s">
        <v>838</v>
      </c>
      <c r="D190" t="s">
        <v>32</v>
      </c>
      <c r="E190" t="s">
        <v>839</v>
      </c>
      <c r="F190" t="s">
        <v>185</v>
      </c>
      <c r="G190" t="s">
        <v>103</v>
      </c>
      <c r="H190" t="b">
        <v>0</v>
      </c>
      <c r="I190" t="s">
        <v>1803</v>
      </c>
      <c r="J190" t="s">
        <v>186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27">
        <v>21427700000000</v>
      </c>
      <c r="R190">
        <v>78.5</v>
      </c>
      <c r="S190">
        <v>9.6</v>
      </c>
      <c r="T190">
        <v>36.6</v>
      </c>
      <c r="U190">
        <v>328239523</v>
      </c>
      <c r="V190">
        <f t="shared" ca="1" si="6"/>
        <v>69.570855666525276</v>
      </c>
      <c r="W190" s="25">
        <f t="shared" ca="1" si="7"/>
        <v>46215</v>
      </c>
      <c r="X190" s="25">
        <f t="shared" si="8"/>
        <v>20804</v>
      </c>
    </row>
    <row r="191" spans="1:24" x14ac:dyDescent="0.25">
      <c r="A191">
        <v>202</v>
      </c>
      <c r="B191" t="s">
        <v>49</v>
      </c>
      <c r="C191" t="s">
        <v>841</v>
      </c>
      <c r="D191" t="s">
        <v>23</v>
      </c>
      <c r="E191" t="s">
        <v>24</v>
      </c>
      <c r="F191" t="s">
        <v>264</v>
      </c>
      <c r="G191" t="s">
        <v>49</v>
      </c>
      <c r="H191" t="b">
        <v>0</v>
      </c>
      <c r="I191" t="s">
        <v>1804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27">
        <v>2715518274227</v>
      </c>
      <c r="R191">
        <v>82.5</v>
      </c>
      <c r="S191">
        <v>24.2</v>
      </c>
      <c r="T191">
        <v>60.7</v>
      </c>
      <c r="U191">
        <v>67059887</v>
      </c>
      <c r="V191">
        <f t="shared" ca="1" si="6"/>
        <v>74.277213988464624</v>
      </c>
      <c r="W191" s="25">
        <f t="shared" ca="1" si="7"/>
        <v>46215</v>
      </c>
      <c r="X191" s="25">
        <f t="shared" si="8"/>
        <v>19085</v>
      </c>
    </row>
    <row r="192" spans="1:24" x14ac:dyDescent="0.25">
      <c r="A192">
        <v>202</v>
      </c>
      <c r="B192" t="s">
        <v>72</v>
      </c>
      <c r="C192" t="s">
        <v>844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1804</v>
      </c>
      <c r="J192" t="s">
        <v>846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27">
        <v>1736425629520</v>
      </c>
      <c r="R192">
        <v>81.900000000000006</v>
      </c>
      <c r="S192">
        <v>12.8</v>
      </c>
      <c r="T192">
        <v>24.5</v>
      </c>
      <c r="U192">
        <v>36991981</v>
      </c>
      <c r="V192">
        <f t="shared" ca="1" si="6"/>
        <v>97.776189159292045</v>
      </c>
      <c r="W192" s="25">
        <f t="shared" ca="1" si="7"/>
        <v>46215</v>
      </c>
      <c r="X192" s="25">
        <f t="shared" si="8"/>
        <v>10502</v>
      </c>
    </row>
    <row r="193" spans="1:24" x14ac:dyDescent="0.25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849</v>
      </c>
      <c r="G193" t="s">
        <v>351</v>
      </c>
      <c r="H193" t="b">
        <v>0</v>
      </c>
      <c r="I193" t="s">
        <v>1804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27">
        <v>703082435360</v>
      </c>
      <c r="R193">
        <v>83.6</v>
      </c>
      <c r="S193">
        <v>10.1</v>
      </c>
      <c r="T193">
        <v>28.8</v>
      </c>
      <c r="U193">
        <v>8574832</v>
      </c>
      <c r="V193">
        <f t="shared" ca="1" si="6"/>
        <v>60.803532788695072</v>
      </c>
      <c r="W193" s="25">
        <f t="shared" ca="1" si="7"/>
        <v>46215</v>
      </c>
      <c r="X193" s="25">
        <f t="shared" si="8"/>
        <v>24007</v>
      </c>
    </row>
    <row r="194" spans="1:24" x14ac:dyDescent="0.25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853</v>
      </c>
      <c r="G194" t="s">
        <v>38</v>
      </c>
      <c r="H194" t="b">
        <v>1</v>
      </c>
      <c r="I194" t="s">
        <v>1804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27">
        <v>19910000000000</v>
      </c>
      <c r="R194">
        <v>77</v>
      </c>
      <c r="S194">
        <v>9.4</v>
      </c>
      <c r="T194">
        <v>59.2</v>
      </c>
      <c r="U194">
        <v>1397715000</v>
      </c>
      <c r="V194">
        <f t="shared" ref="V194:V257" ca="1" si="9">YEARFRAC(X194,W194,1)</f>
        <v>47.394934976043807</v>
      </c>
      <c r="W194" s="25">
        <f t="shared" ca="1" si="7"/>
        <v>46215</v>
      </c>
      <c r="X194" s="25">
        <f t="shared" si="8"/>
        <v>28904</v>
      </c>
    </row>
    <row r="195" spans="1:24" x14ac:dyDescent="0.25">
      <c r="A195">
        <v>206</v>
      </c>
      <c r="B195" t="s">
        <v>38</v>
      </c>
      <c r="C195" t="s">
        <v>855</v>
      </c>
      <c r="D195" t="s">
        <v>32</v>
      </c>
      <c r="E195" t="s">
        <v>856</v>
      </c>
      <c r="F195" t="s">
        <v>857</v>
      </c>
      <c r="G195" t="s">
        <v>38</v>
      </c>
      <c r="H195" t="b">
        <v>1</v>
      </c>
      <c r="I195" t="s">
        <v>1804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27">
        <v>21427700000000</v>
      </c>
      <c r="R195">
        <v>78.5</v>
      </c>
      <c r="S195">
        <v>9.6</v>
      </c>
      <c r="T195">
        <v>36.6</v>
      </c>
      <c r="U195">
        <v>328239523</v>
      </c>
      <c r="V195">
        <f t="shared" ca="1" si="9"/>
        <v>44.869233974168203</v>
      </c>
      <c r="W195" s="25">
        <f t="shared" ref="W195:W258" ca="1" si="10">TODAY()</f>
        <v>46215</v>
      </c>
      <c r="X195" s="25">
        <f t="shared" ref="X195:X258" si="11">DATE(M195,N195,O195)</f>
        <v>29827</v>
      </c>
    </row>
    <row r="196" spans="1:24" x14ac:dyDescent="0.25">
      <c r="A196">
        <v>206</v>
      </c>
      <c r="B196" t="s">
        <v>250</v>
      </c>
      <c r="C196" t="s">
        <v>860</v>
      </c>
      <c r="D196" t="s">
        <v>226</v>
      </c>
      <c r="E196" t="s">
        <v>861</v>
      </c>
      <c r="F196" t="s">
        <v>862</v>
      </c>
      <c r="G196" t="s">
        <v>250</v>
      </c>
      <c r="H196" t="b">
        <v>1</v>
      </c>
      <c r="I196" t="s">
        <v>1804</v>
      </c>
      <c r="J196" t="s">
        <v>863</v>
      </c>
      <c r="K196" t="s">
        <v>350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27">
        <v>2827113184696</v>
      </c>
      <c r="R196">
        <v>81.3</v>
      </c>
      <c r="S196">
        <v>25.5</v>
      </c>
      <c r="T196">
        <v>30.6</v>
      </c>
      <c r="U196">
        <v>66834405</v>
      </c>
      <c r="V196">
        <f t="shared" ca="1" si="9"/>
        <v>79.195071868583156</v>
      </c>
      <c r="W196" s="25">
        <f t="shared" ca="1" si="10"/>
        <v>46215</v>
      </c>
      <c r="X196" s="25">
        <f t="shared" si="11"/>
        <v>17289</v>
      </c>
    </row>
    <row r="197" spans="1:24" x14ac:dyDescent="0.25">
      <c r="A197">
        <v>208</v>
      </c>
      <c r="B197" t="s">
        <v>72</v>
      </c>
      <c r="C197" t="s">
        <v>864</v>
      </c>
      <c r="D197" t="s">
        <v>327</v>
      </c>
      <c r="E197" t="s">
        <v>328</v>
      </c>
      <c r="F197" t="s">
        <v>399</v>
      </c>
      <c r="G197" t="s">
        <v>72</v>
      </c>
      <c r="H197" t="b">
        <v>1</v>
      </c>
      <c r="I197" t="s">
        <v>1804</v>
      </c>
      <c r="J197" t="s">
        <v>865</v>
      </c>
      <c r="K197" t="s">
        <v>866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27">
        <v>1699876578871</v>
      </c>
      <c r="R197">
        <v>72.7</v>
      </c>
      <c r="S197">
        <v>11.4</v>
      </c>
      <c r="T197">
        <v>46.2</v>
      </c>
      <c r="U197">
        <v>144373535</v>
      </c>
      <c r="V197">
        <f t="shared" ca="1" si="9"/>
        <v>59.715933572710952</v>
      </c>
      <c r="W197" s="25">
        <f t="shared" ca="1" si="10"/>
        <v>46215</v>
      </c>
      <c r="X197" s="25">
        <f t="shared" si="11"/>
        <v>24404</v>
      </c>
    </row>
    <row r="198" spans="1:24" x14ac:dyDescent="0.25">
      <c r="A198">
        <v>208</v>
      </c>
      <c r="B198" t="s">
        <v>72</v>
      </c>
      <c r="C198" t="s">
        <v>867</v>
      </c>
      <c r="D198" t="s">
        <v>497</v>
      </c>
      <c r="E198" t="s">
        <v>498</v>
      </c>
      <c r="F198" t="s">
        <v>72</v>
      </c>
      <c r="G198" t="s">
        <v>72</v>
      </c>
      <c r="H198" t="b">
        <v>0</v>
      </c>
      <c r="I198" t="s">
        <v>1803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27">
        <v>530832908738</v>
      </c>
      <c r="R198">
        <v>82.5</v>
      </c>
      <c r="S198">
        <v>27.9</v>
      </c>
      <c r="T198">
        <v>49.1</v>
      </c>
      <c r="U198">
        <v>10285453</v>
      </c>
      <c r="V198">
        <f t="shared" ca="1" si="9"/>
        <v>82.847364818617379</v>
      </c>
      <c r="W198" s="25">
        <f t="shared" ca="1" si="10"/>
        <v>46215</v>
      </c>
      <c r="X198" s="25">
        <f t="shared" si="11"/>
        <v>15955</v>
      </c>
    </row>
    <row r="199" spans="1:24" x14ac:dyDescent="0.25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871</v>
      </c>
      <c r="G199" t="s">
        <v>292</v>
      </c>
      <c r="H199" t="b">
        <v>1</v>
      </c>
      <c r="I199" t="s">
        <v>1804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27">
        <v>246489245495</v>
      </c>
      <c r="R199">
        <v>79</v>
      </c>
      <c r="S199">
        <v>14.9</v>
      </c>
      <c r="T199">
        <v>46.1</v>
      </c>
      <c r="U199">
        <v>10669709</v>
      </c>
      <c r="V199">
        <f t="shared" ca="1" si="9"/>
        <v>51.008898015058179</v>
      </c>
      <c r="W199" s="25">
        <f t="shared" ca="1" si="10"/>
        <v>46215</v>
      </c>
      <c r="X199" s="25">
        <f t="shared" si="11"/>
        <v>27584</v>
      </c>
    </row>
    <row r="200" spans="1:24" x14ac:dyDescent="0.25">
      <c r="A200">
        <v>208</v>
      </c>
      <c r="B200" t="s">
        <v>59</v>
      </c>
      <c r="C200" t="s">
        <v>873</v>
      </c>
      <c r="D200" t="s">
        <v>32</v>
      </c>
      <c r="E200" t="s">
        <v>874</v>
      </c>
      <c r="F200" t="s">
        <v>875</v>
      </c>
      <c r="G200" t="s">
        <v>59</v>
      </c>
      <c r="H200" t="b">
        <v>1</v>
      </c>
      <c r="I200" t="s">
        <v>1804</v>
      </c>
      <c r="J200" t="s">
        <v>876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27">
        <v>21427700000000</v>
      </c>
      <c r="R200">
        <v>78.5</v>
      </c>
      <c r="S200">
        <v>9.6</v>
      </c>
      <c r="T200">
        <v>36.6</v>
      </c>
      <c r="U200">
        <v>328239523</v>
      </c>
      <c r="V200">
        <f t="shared" ca="1" si="9"/>
        <v>85.348381140364836</v>
      </c>
      <c r="W200" s="25">
        <f t="shared" ca="1" si="10"/>
        <v>46215</v>
      </c>
      <c r="X200" s="25">
        <f t="shared" si="11"/>
        <v>15042</v>
      </c>
    </row>
    <row r="201" spans="1:24" x14ac:dyDescent="0.25">
      <c r="A201">
        <v>208</v>
      </c>
      <c r="B201" t="s">
        <v>38</v>
      </c>
      <c r="C201" t="s">
        <v>877</v>
      </c>
      <c r="D201" t="s">
        <v>74</v>
      </c>
      <c r="E201" t="s">
        <v>878</v>
      </c>
      <c r="F201" t="s">
        <v>879</v>
      </c>
      <c r="G201" t="s">
        <v>38</v>
      </c>
      <c r="H201" t="b">
        <v>0</v>
      </c>
      <c r="I201" t="s">
        <v>1804</v>
      </c>
      <c r="J201" t="s">
        <v>880</v>
      </c>
      <c r="K201" t="s">
        <v>881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27">
        <v>2611000000000</v>
      </c>
      <c r="R201">
        <v>69.400000000000006</v>
      </c>
      <c r="S201">
        <v>11.2</v>
      </c>
      <c r="T201">
        <v>49.7</v>
      </c>
      <c r="U201">
        <v>1366417754</v>
      </c>
      <c r="V201">
        <f t="shared" ca="1" si="9"/>
        <v>80.967813021702838</v>
      </c>
      <c r="W201" s="25">
        <f t="shared" ca="1" si="10"/>
        <v>46215</v>
      </c>
      <c r="X201" s="25">
        <f t="shared" si="11"/>
        <v>16642</v>
      </c>
    </row>
    <row r="202" spans="1:24" x14ac:dyDescent="0.25">
      <c r="A202">
        <v>208</v>
      </c>
      <c r="B202" t="s">
        <v>49</v>
      </c>
      <c r="C202" t="s">
        <v>882</v>
      </c>
      <c r="D202" t="s">
        <v>32</v>
      </c>
      <c r="E202" t="s">
        <v>883</v>
      </c>
      <c r="F202" t="s">
        <v>302</v>
      </c>
      <c r="G202" t="s">
        <v>49</v>
      </c>
      <c r="H202" t="b">
        <v>1</v>
      </c>
      <c r="I202" t="s">
        <v>1804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27">
        <v>21427700000000</v>
      </c>
      <c r="R202">
        <v>78.5</v>
      </c>
      <c r="S202">
        <v>9.6</v>
      </c>
      <c r="T202">
        <v>36.6</v>
      </c>
      <c r="U202">
        <v>328239523</v>
      </c>
      <c r="V202">
        <f t="shared" ca="1" si="9"/>
        <v>88.95412509126308</v>
      </c>
      <c r="W202" s="25">
        <f t="shared" ca="1" si="10"/>
        <v>46215</v>
      </c>
      <c r="X202" s="25">
        <f t="shared" si="11"/>
        <v>13725</v>
      </c>
    </row>
    <row r="203" spans="1:24" x14ac:dyDescent="0.25">
      <c r="A203">
        <v>208</v>
      </c>
      <c r="B203" t="s">
        <v>21</v>
      </c>
      <c r="C203" t="s">
        <v>885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1804</v>
      </c>
      <c r="J203" t="s">
        <v>888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27">
        <v>21427700000000</v>
      </c>
      <c r="R203">
        <v>78.5</v>
      </c>
      <c r="S203">
        <v>9.6</v>
      </c>
      <c r="T203">
        <v>36.6</v>
      </c>
      <c r="U203">
        <v>328239523</v>
      </c>
      <c r="V203">
        <f t="shared" ca="1" si="9"/>
        <v>66.526356652500823</v>
      </c>
      <c r="W203" s="25">
        <f t="shared" ca="1" si="10"/>
        <v>46215</v>
      </c>
      <c r="X203" s="25">
        <f t="shared" si="11"/>
        <v>21916</v>
      </c>
    </row>
    <row r="204" spans="1:24" x14ac:dyDescent="0.25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1804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27">
        <v>21427700000000</v>
      </c>
      <c r="R204">
        <v>78.5</v>
      </c>
      <c r="S204">
        <v>9.6</v>
      </c>
      <c r="T204">
        <v>36.6</v>
      </c>
      <c r="U204">
        <v>328239523</v>
      </c>
      <c r="V204">
        <f t="shared" ca="1" si="9"/>
        <v>75.288158795345652</v>
      </c>
      <c r="W204" s="25">
        <f t="shared" ca="1" si="10"/>
        <v>46215</v>
      </c>
      <c r="X204" s="25">
        <f t="shared" si="11"/>
        <v>18716</v>
      </c>
    </row>
    <row r="205" spans="1:24" x14ac:dyDescent="0.25">
      <c r="A205">
        <v>215</v>
      </c>
      <c r="B205" t="s">
        <v>272</v>
      </c>
      <c r="C205" t="s">
        <v>891</v>
      </c>
      <c r="D205" t="s">
        <v>170</v>
      </c>
      <c r="E205" t="s">
        <v>892</v>
      </c>
      <c r="F205" t="s">
        <v>276</v>
      </c>
      <c r="G205" t="s">
        <v>272</v>
      </c>
      <c r="H205" t="b">
        <v>1</v>
      </c>
      <c r="I205" t="s">
        <v>1804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27">
        <v>703082435360</v>
      </c>
      <c r="R205">
        <v>83.6</v>
      </c>
      <c r="S205">
        <v>10.1</v>
      </c>
      <c r="T205">
        <v>28.8</v>
      </c>
      <c r="U205">
        <v>8574832</v>
      </c>
      <c r="V205">
        <f t="shared" ca="1" si="9"/>
        <v>69.509915124965772</v>
      </c>
      <c r="W205" s="25">
        <f t="shared" ca="1" si="10"/>
        <v>46215</v>
      </c>
      <c r="X205" s="25">
        <f t="shared" si="11"/>
        <v>20827</v>
      </c>
    </row>
    <row r="206" spans="1:24" x14ac:dyDescent="0.25">
      <c r="A206">
        <v>215</v>
      </c>
      <c r="B206" t="s">
        <v>462</v>
      </c>
      <c r="C206" t="s">
        <v>895</v>
      </c>
      <c r="D206" t="s">
        <v>158</v>
      </c>
      <c r="E206" t="s">
        <v>896</v>
      </c>
      <c r="F206" t="s">
        <v>465</v>
      </c>
      <c r="G206" t="s">
        <v>462</v>
      </c>
      <c r="H206" t="b">
        <v>0</v>
      </c>
      <c r="I206" t="s">
        <v>1804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27">
        <v>3845630030824</v>
      </c>
      <c r="R206">
        <v>80.900000000000006</v>
      </c>
      <c r="S206">
        <v>11.5</v>
      </c>
      <c r="T206">
        <v>48.8</v>
      </c>
      <c r="U206">
        <v>83132799</v>
      </c>
      <c r="V206">
        <f t="shared" ca="1" si="9"/>
        <v>59.014373716632441</v>
      </c>
      <c r="W206" s="25">
        <f t="shared" ca="1" si="10"/>
        <v>46215</v>
      </c>
      <c r="X206" s="25">
        <f t="shared" si="11"/>
        <v>24660</v>
      </c>
    </row>
    <row r="207" spans="1:24" x14ac:dyDescent="0.25">
      <c r="A207">
        <v>215</v>
      </c>
      <c r="B207" t="s">
        <v>103</v>
      </c>
      <c r="C207" t="s">
        <v>899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1804</v>
      </c>
      <c r="J207" t="s">
        <v>901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27">
        <v>1736425629520</v>
      </c>
      <c r="R207">
        <v>81.900000000000006</v>
      </c>
      <c r="S207">
        <v>12.8</v>
      </c>
      <c r="T207">
        <v>24.5</v>
      </c>
      <c r="U207">
        <v>36991981</v>
      </c>
      <c r="V207">
        <f t="shared" ca="1" si="9"/>
        <v>76.340172095007816</v>
      </c>
      <c r="W207" s="25">
        <f t="shared" ca="1" si="10"/>
        <v>46215</v>
      </c>
      <c r="X207" s="25">
        <f t="shared" si="11"/>
        <v>18332</v>
      </c>
    </row>
    <row r="208" spans="1:24" x14ac:dyDescent="0.25">
      <c r="A208">
        <v>215</v>
      </c>
      <c r="B208" t="s">
        <v>250</v>
      </c>
      <c r="C208" t="s">
        <v>902</v>
      </c>
      <c r="D208" t="s">
        <v>105</v>
      </c>
      <c r="E208" t="s">
        <v>903</v>
      </c>
      <c r="F208" t="s">
        <v>904</v>
      </c>
      <c r="G208" t="s">
        <v>250</v>
      </c>
      <c r="H208" t="b">
        <v>1</v>
      </c>
      <c r="I208" t="s">
        <v>1804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27">
        <v>19910000000000</v>
      </c>
      <c r="R208">
        <v>77</v>
      </c>
      <c r="S208">
        <v>9.4</v>
      </c>
      <c r="T208">
        <v>59.2</v>
      </c>
      <c r="U208">
        <v>1397715000</v>
      </c>
      <c r="V208">
        <f t="shared" ca="1" si="9"/>
        <v>60.378500897666072</v>
      </c>
      <c r="W208" s="25">
        <f t="shared" ca="1" si="10"/>
        <v>46215</v>
      </c>
      <c r="X208" s="25">
        <f t="shared" si="11"/>
        <v>24162</v>
      </c>
    </row>
    <row r="209" spans="1:24" x14ac:dyDescent="0.25">
      <c r="A209">
        <v>220</v>
      </c>
      <c r="B209" t="s">
        <v>103</v>
      </c>
      <c r="C209" t="s">
        <v>906</v>
      </c>
      <c r="D209" t="s">
        <v>226</v>
      </c>
      <c r="E209" t="s">
        <v>227</v>
      </c>
      <c r="F209" t="s">
        <v>907</v>
      </c>
      <c r="G209" t="s">
        <v>103</v>
      </c>
      <c r="H209" t="b">
        <v>0</v>
      </c>
      <c r="I209" t="s">
        <v>1804</v>
      </c>
      <c r="J209" t="s">
        <v>908</v>
      </c>
      <c r="K209" t="s">
        <v>909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27">
        <v>2827113184696</v>
      </c>
      <c r="R209">
        <v>81.3</v>
      </c>
      <c r="S209">
        <v>25.5</v>
      </c>
      <c r="T209">
        <v>30.6</v>
      </c>
      <c r="U209">
        <v>66834405</v>
      </c>
      <c r="V209">
        <f t="shared" ca="1" si="9"/>
        <v>71.526351813826153</v>
      </c>
      <c r="W209" s="25">
        <f t="shared" ca="1" si="10"/>
        <v>46215</v>
      </c>
      <c r="X209" s="25">
        <f t="shared" si="11"/>
        <v>20090</v>
      </c>
    </row>
    <row r="210" spans="1:24" x14ac:dyDescent="0.25">
      <c r="A210">
        <v>220</v>
      </c>
      <c r="B210" t="s">
        <v>103</v>
      </c>
      <c r="C210" t="s">
        <v>910</v>
      </c>
      <c r="D210" t="s">
        <v>226</v>
      </c>
      <c r="E210" t="s">
        <v>911</v>
      </c>
      <c r="F210" t="s">
        <v>907</v>
      </c>
      <c r="G210" t="s">
        <v>103</v>
      </c>
      <c r="H210" t="b">
        <v>0</v>
      </c>
      <c r="I210" t="s">
        <v>1804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27">
        <v>2827113184696</v>
      </c>
      <c r="R210">
        <v>81.3</v>
      </c>
      <c r="S210">
        <v>25.5</v>
      </c>
      <c r="T210">
        <v>30.6</v>
      </c>
      <c r="U210">
        <v>66834405</v>
      </c>
      <c r="V210">
        <f t="shared" ca="1" si="9"/>
        <v>66.526356652500823</v>
      </c>
      <c r="W210" s="25">
        <f t="shared" ca="1" si="10"/>
        <v>46215</v>
      </c>
      <c r="X210" s="25">
        <f t="shared" si="11"/>
        <v>21916</v>
      </c>
    </row>
    <row r="211" spans="1:24" x14ac:dyDescent="0.25">
      <c r="A211">
        <v>220</v>
      </c>
      <c r="B211" t="s">
        <v>103</v>
      </c>
      <c r="C211" t="s">
        <v>913</v>
      </c>
      <c r="D211" t="s">
        <v>226</v>
      </c>
      <c r="E211" t="s">
        <v>914</v>
      </c>
      <c r="F211" t="s">
        <v>907</v>
      </c>
      <c r="G211" t="s">
        <v>103</v>
      </c>
      <c r="H211" t="b">
        <v>0</v>
      </c>
      <c r="I211" t="s">
        <v>1803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27">
        <v>2827113184696</v>
      </c>
      <c r="R211">
        <v>81.3</v>
      </c>
      <c r="S211">
        <v>25.5</v>
      </c>
      <c r="T211">
        <v>30.6</v>
      </c>
      <c r="U211">
        <v>66834405</v>
      </c>
      <c r="V211">
        <f t="shared" ca="1" si="9"/>
        <v>74.09651748558079</v>
      </c>
      <c r="W211" s="25">
        <f t="shared" ca="1" si="10"/>
        <v>46215</v>
      </c>
      <c r="X211" s="25">
        <f t="shared" si="11"/>
        <v>19151</v>
      </c>
    </row>
    <row r="212" spans="1:24" x14ac:dyDescent="0.25">
      <c r="A212">
        <v>223</v>
      </c>
      <c r="B212" t="s">
        <v>21</v>
      </c>
      <c r="C212" t="s">
        <v>916</v>
      </c>
      <c r="D212" t="s">
        <v>327</v>
      </c>
      <c r="E212" t="s">
        <v>917</v>
      </c>
      <c r="F212" t="s">
        <v>918</v>
      </c>
      <c r="G212" t="s">
        <v>21</v>
      </c>
      <c r="H212" t="b">
        <v>1</v>
      </c>
      <c r="I212" t="s">
        <v>1803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27">
        <v>1699876578871</v>
      </c>
      <c r="R212">
        <v>72.7</v>
      </c>
      <c r="S212">
        <v>11.4</v>
      </c>
      <c r="T212">
        <v>46.2</v>
      </c>
      <c r="U212">
        <v>144373535</v>
      </c>
      <c r="V212">
        <f t="shared" ca="1" si="9"/>
        <v>50.737850787132103</v>
      </c>
      <c r="W212" s="25">
        <f t="shared" ca="1" si="10"/>
        <v>46215</v>
      </c>
      <c r="X212" s="25">
        <f t="shared" si="11"/>
        <v>27683</v>
      </c>
    </row>
    <row r="213" spans="1:24" x14ac:dyDescent="0.25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1804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27">
        <v>21427700000000</v>
      </c>
      <c r="R213">
        <v>78.5</v>
      </c>
      <c r="S213">
        <v>9.6</v>
      </c>
      <c r="T213">
        <v>36.6</v>
      </c>
      <c r="U213">
        <v>328239523</v>
      </c>
      <c r="V213">
        <f t="shared" ca="1" si="9"/>
        <v>75.036276522929498</v>
      </c>
      <c r="W213" s="25">
        <f t="shared" ca="1" si="10"/>
        <v>46215</v>
      </c>
      <c r="X213" s="25">
        <f t="shared" si="11"/>
        <v>18808</v>
      </c>
    </row>
    <row r="214" spans="1:24" x14ac:dyDescent="0.25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247</v>
      </c>
      <c r="G214" t="s">
        <v>38</v>
      </c>
      <c r="H214" t="b">
        <v>1</v>
      </c>
      <c r="I214" t="s">
        <v>1804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27">
        <v>19910000000000</v>
      </c>
      <c r="R214">
        <v>77</v>
      </c>
      <c r="S214">
        <v>9.4</v>
      </c>
      <c r="T214">
        <v>59.2</v>
      </c>
      <c r="U214">
        <v>1397715000</v>
      </c>
      <c r="V214">
        <f t="shared" ca="1" si="9"/>
        <v>52.34016943899163</v>
      </c>
      <c r="W214" s="25">
        <f t="shared" ca="1" si="10"/>
        <v>46215</v>
      </c>
      <c r="X214" s="25">
        <f t="shared" si="11"/>
        <v>27098</v>
      </c>
    </row>
    <row r="215" spans="1:24" x14ac:dyDescent="0.25">
      <c r="A215">
        <v>223</v>
      </c>
      <c r="B215" t="s">
        <v>38</v>
      </c>
      <c r="C215" t="s">
        <v>926</v>
      </c>
      <c r="D215" t="s">
        <v>32</v>
      </c>
      <c r="E215" t="s">
        <v>856</v>
      </c>
      <c r="F215" t="s">
        <v>112</v>
      </c>
      <c r="G215" t="s">
        <v>38</v>
      </c>
      <c r="H215" t="b">
        <v>1</v>
      </c>
      <c r="I215" t="s">
        <v>1804</v>
      </c>
      <c r="J215" t="s">
        <v>927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27">
        <v>21427700000000</v>
      </c>
      <c r="R215">
        <v>78.5</v>
      </c>
      <c r="S215">
        <v>9.6</v>
      </c>
      <c r="T215">
        <v>36.6</v>
      </c>
      <c r="U215">
        <v>328239523</v>
      </c>
      <c r="V215">
        <f t="shared" ca="1" si="9"/>
        <v>42.137590729657454</v>
      </c>
      <c r="W215" s="25">
        <f t="shared" ca="1" si="10"/>
        <v>46215</v>
      </c>
      <c r="X215" s="25">
        <f t="shared" si="11"/>
        <v>30824</v>
      </c>
    </row>
    <row r="216" spans="1:24" x14ac:dyDescent="0.25">
      <c r="A216">
        <v>223</v>
      </c>
      <c r="B216" t="s">
        <v>38</v>
      </c>
      <c r="C216" t="s">
        <v>929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1804</v>
      </c>
      <c r="J216" t="s">
        <v>932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27">
        <v>21427700000000</v>
      </c>
      <c r="R216">
        <v>78.5</v>
      </c>
      <c r="S216">
        <v>9.6</v>
      </c>
      <c r="T216">
        <v>36.6</v>
      </c>
      <c r="U216">
        <v>328239523</v>
      </c>
      <c r="V216">
        <f t="shared" ca="1" si="9"/>
        <v>59.058179329226554</v>
      </c>
      <c r="W216" s="25">
        <f t="shared" ca="1" si="10"/>
        <v>46215</v>
      </c>
      <c r="X216" s="25">
        <f t="shared" si="11"/>
        <v>24644</v>
      </c>
    </row>
    <row r="217" spans="1:24" x14ac:dyDescent="0.25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1804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27">
        <v>19910000000000</v>
      </c>
      <c r="R217">
        <v>77</v>
      </c>
      <c r="S217">
        <v>9.4</v>
      </c>
      <c r="T217">
        <v>59.2</v>
      </c>
      <c r="U217">
        <v>1397715000</v>
      </c>
      <c r="V217">
        <f t="shared" ca="1" si="9"/>
        <v>67.526351813826153</v>
      </c>
      <c r="W217" s="25">
        <f t="shared" ca="1" si="10"/>
        <v>46215</v>
      </c>
      <c r="X217" s="25">
        <f t="shared" si="11"/>
        <v>21551</v>
      </c>
    </row>
    <row r="218" spans="1:24" x14ac:dyDescent="0.25">
      <c r="A218">
        <v>223</v>
      </c>
      <c r="B218" t="s">
        <v>292</v>
      </c>
      <c r="C218" t="s">
        <v>937</v>
      </c>
      <c r="D218" t="s">
        <v>226</v>
      </c>
      <c r="E218" t="s">
        <v>227</v>
      </c>
      <c r="F218" t="s">
        <v>403</v>
      </c>
      <c r="G218" t="s">
        <v>292</v>
      </c>
      <c r="H218" t="b">
        <v>0</v>
      </c>
      <c r="I218" t="s">
        <v>1803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27">
        <v>2827113184696</v>
      </c>
      <c r="R218">
        <v>81.3</v>
      </c>
      <c r="S218">
        <v>25.5</v>
      </c>
      <c r="T218">
        <v>30.6</v>
      </c>
      <c r="U218">
        <v>66834405</v>
      </c>
      <c r="V218">
        <f t="shared" ca="1" si="9"/>
        <v>75.526351813826153</v>
      </c>
      <c r="W218" s="25">
        <f t="shared" ca="1" si="10"/>
        <v>46215</v>
      </c>
      <c r="X218" s="25">
        <f t="shared" si="11"/>
        <v>18629</v>
      </c>
    </row>
    <row r="219" spans="1:24" x14ac:dyDescent="0.25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348</v>
      </c>
      <c r="G219" t="s">
        <v>250</v>
      </c>
      <c r="H219" t="b">
        <v>1</v>
      </c>
      <c r="I219" t="s">
        <v>1804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27">
        <v>19910000000000</v>
      </c>
      <c r="R219">
        <v>77</v>
      </c>
      <c r="S219">
        <v>9.4</v>
      </c>
      <c r="T219">
        <v>59.2</v>
      </c>
      <c r="U219">
        <v>1397715000</v>
      </c>
      <c r="V219">
        <f t="shared" ca="1" si="9"/>
        <v>55.526351813826146</v>
      </c>
      <c r="W219" s="25">
        <f t="shared" ca="1" si="10"/>
        <v>46215</v>
      </c>
      <c r="X219" s="25">
        <f t="shared" si="11"/>
        <v>25934</v>
      </c>
    </row>
    <row r="220" spans="1:24" x14ac:dyDescent="0.25">
      <c r="A220">
        <v>230</v>
      </c>
      <c r="B220" t="s">
        <v>21</v>
      </c>
      <c r="C220" t="s">
        <v>943</v>
      </c>
      <c r="D220" t="s">
        <v>158</v>
      </c>
      <c r="E220" t="s">
        <v>896</v>
      </c>
      <c r="F220" t="s">
        <v>944</v>
      </c>
      <c r="G220" t="s">
        <v>21</v>
      </c>
      <c r="H220" t="b">
        <v>0</v>
      </c>
      <c r="I220" t="s">
        <v>1804</v>
      </c>
      <c r="J220" t="s">
        <v>897</v>
      </c>
      <c r="K220" t="s">
        <v>64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27">
        <v>3845630030824</v>
      </c>
      <c r="R220">
        <v>80.900000000000006</v>
      </c>
      <c r="S220">
        <v>11.5</v>
      </c>
      <c r="T220">
        <v>48.8</v>
      </c>
      <c r="U220">
        <v>83132799</v>
      </c>
      <c r="V220">
        <f t="shared" ca="1" si="9"/>
        <v>83.249828884325808</v>
      </c>
      <c r="W220" s="25">
        <f t="shared" ca="1" si="10"/>
        <v>46215</v>
      </c>
      <c r="X220" s="25">
        <f t="shared" si="11"/>
        <v>15808</v>
      </c>
    </row>
    <row r="221" spans="1:24" x14ac:dyDescent="0.25">
      <c r="A221">
        <v>232</v>
      </c>
      <c r="B221" t="s">
        <v>49</v>
      </c>
      <c r="C221" t="s">
        <v>945</v>
      </c>
      <c r="D221" t="s">
        <v>32</v>
      </c>
      <c r="E221" t="s">
        <v>61</v>
      </c>
      <c r="F221" t="s">
        <v>802</v>
      </c>
      <c r="G221" t="s">
        <v>49</v>
      </c>
      <c r="H221" t="b">
        <v>1</v>
      </c>
      <c r="I221" t="s">
        <v>1804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27">
        <v>21427700000000</v>
      </c>
      <c r="R221">
        <v>78.5</v>
      </c>
      <c r="S221">
        <v>9.6</v>
      </c>
      <c r="T221">
        <v>36.6</v>
      </c>
      <c r="U221">
        <v>328239523</v>
      </c>
      <c r="V221">
        <f t="shared" ca="1" si="9"/>
        <v>74.948665297741272</v>
      </c>
      <c r="W221" s="25">
        <f t="shared" ca="1" si="10"/>
        <v>46215</v>
      </c>
      <c r="X221" s="25">
        <f t="shared" si="11"/>
        <v>18840</v>
      </c>
    </row>
    <row r="222" spans="1:24" x14ac:dyDescent="0.25">
      <c r="A222">
        <v>232</v>
      </c>
      <c r="B222" t="s">
        <v>49</v>
      </c>
      <c r="C222" t="s">
        <v>948</v>
      </c>
      <c r="D222" t="s">
        <v>949</v>
      </c>
      <c r="E222" t="s">
        <v>950</v>
      </c>
      <c r="F222" t="s">
        <v>264</v>
      </c>
      <c r="G222" t="s">
        <v>49</v>
      </c>
      <c r="H222" t="b">
        <v>1</v>
      </c>
      <c r="I222" t="s">
        <v>1804</v>
      </c>
      <c r="J222" t="s">
        <v>951</v>
      </c>
      <c r="K222" t="s">
        <v>952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27">
        <v>206928765544</v>
      </c>
      <c r="R222">
        <v>81.900000000000006</v>
      </c>
      <c r="S222">
        <v>29</v>
      </c>
      <c r="T222">
        <v>34.6</v>
      </c>
      <c r="U222">
        <v>4841000</v>
      </c>
      <c r="V222">
        <f t="shared" ca="1" si="9"/>
        <v>71.099247091033533</v>
      </c>
      <c r="W222" s="25">
        <f t="shared" ca="1" si="10"/>
        <v>46215</v>
      </c>
      <c r="X222" s="25">
        <f t="shared" si="11"/>
        <v>20246</v>
      </c>
    </row>
    <row r="223" spans="1:24" x14ac:dyDescent="0.25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955</v>
      </c>
      <c r="G223" t="s">
        <v>103</v>
      </c>
      <c r="H223" t="b">
        <v>0</v>
      </c>
      <c r="I223" t="s">
        <v>1804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27">
        <v>2611000000000</v>
      </c>
      <c r="R223">
        <v>69.400000000000006</v>
      </c>
      <c r="S223">
        <v>11.2</v>
      </c>
      <c r="T223">
        <v>49.7</v>
      </c>
      <c r="U223">
        <v>1366417754</v>
      </c>
      <c r="V223">
        <f t="shared" ca="1" si="9"/>
        <v>71.620110265161458</v>
      </c>
      <c r="W223" s="25">
        <f t="shared" ca="1" si="10"/>
        <v>46215</v>
      </c>
      <c r="X223" s="25">
        <f t="shared" si="11"/>
        <v>20056</v>
      </c>
    </row>
    <row r="224" spans="1:24" x14ac:dyDescent="0.25">
      <c r="A224">
        <v>232</v>
      </c>
      <c r="B224" t="s">
        <v>38</v>
      </c>
      <c r="C224" t="s">
        <v>958</v>
      </c>
      <c r="D224" t="s">
        <v>158</v>
      </c>
      <c r="E224" t="s">
        <v>959</v>
      </c>
      <c r="F224" t="s">
        <v>731</v>
      </c>
      <c r="G224" t="s">
        <v>38</v>
      </c>
      <c r="H224" t="b">
        <v>1</v>
      </c>
      <c r="I224" t="s">
        <v>1804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27">
        <v>3845630030824</v>
      </c>
      <c r="R224">
        <v>80.900000000000006</v>
      </c>
      <c r="S224">
        <v>11.5</v>
      </c>
      <c r="T224">
        <v>48.8</v>
      </c>
      <c r="U224">
        <v>83132799</v>
      </c>
      <c r="V224">
        <f t="shared" ca="1" si="9"/>
        <v>82.471599155561421</v>
      </c>
      <c r="W224" s="25">
        <f t="shared" ca="1" si="10"/>
        <v>46215</v>
      </c>
      <c r="X224" s="25">
        <f t="shared" si="11"/>
        <v>16092</v>
      </c>
    </row>
    <row r="225" spans="1:24" x14ac:dyDescent="0.25">
      <c r="A225">
        <v>232</v>
      </c>
      <c r="B225" t="s">
        <v>103</v>
      </c>
      <c r="C225" t="s">
        <v>962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1804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27">
        <v>703082435360</v>
      </c>
      <c r="R225">
        <v>83.6</v>
      </c>
      <c r="S225">
        <v>10.1</v>
      </c>
      <c r="T225">
        <v>28.8</v>
      </c>
      <c r="U225">
        <v>8574832</v>
      </c>
      <c r="V225">
        <f t="shared" ca="1" si="9"/>
        <v>78.526355917518629</v>
      </c>
      <c r="W225" s="25">
        <f t="shared" ca="1" si="10"/>
        <v>46215</v>
      </c>
      <c r="X225" s="25">
        <f t="shared" si="11"/>
        <v>17533</v>
      </c>
    </row>
    <row r="226" spans="1:24" x14ac:dyDescent="0.25">
      <c r="A226">
        <v>232</v>
      </c>
      <c r="B226" t="s">
        <v>462</v>
      </c>
      <c r="C226" t="s">
        <v>966</v>
      </c>
      <c r="D226" t="s">
        <v>967</v>
      </c>
      <c r="E226" t="s">
        <v>968</v>
      </c>
      <c r="F226" t="s">
        <v>465</v>
      </c>
      <c r="G226" t="s">
        <v>462</v>
      </c>
      <c r="H226" t="b">
        <v>1</v>
      </c>
      <c r="I226" t="s">
        <v>1804</v>
      </c>
      <c r="J226" t="s">
        <v>969</v>
      </c>
      <c r="K226" t="s">
        <v>970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27">
        <v>376795508680</v>
      </c>
      <c r="R226">
        <v>71.099999999999994</v>
      </c>
      <c r="S226">
        <v>14</v>
      </c>
      <c r="T226">
        <v>43.1</v>
      </c>
      <c r="U226">
        <v>108116615</v>
      </c>
      <c r="V226">
        <f t="shared" ca="1" si="9"/>
        <v>76.579030503001164</v>
      </c>
      <c r="W226" s="25">
        <f t="shared" ca="1" si="10"/>
        <v>46215</v>
      </c>
      <c r="X226" s="25">
        <f t="shared" si="11"/>
        <v>18245</v>
      </c>
    </row>
    <row r="227" spans="1:24" x14ac:dyDescent="0.25">
      <c r="A227">
        <v>232</v>
      </c>
      <c r="B227" t="s">
        <v>38</v>
      </c>
      <c r="C227" t="s">
        <v>972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1804</v>
      </c>
      <c r="J227" t="s">
        <v>973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27">
        <v>21427700000000</v>
      </c>
      <c r="R227">
        <v>78.5</v>
      </c>
      <c r="S227">
        <v>9.6</v>
      </c>
      <c r="T227">
        <v>36.6</v>
      </c>
      <c r="U227">
        <v>328239523</v>
      </c>
      <c r="V227">
        <f t="shared" ca="1" si="9"/>
        <v>70.781656399726216</v>
      </c>
      <c r="W227" s="25">
        <f t="shared" ca="1" si="10"/>
        <v>46215</v>
      </c>
      <c r="X227" s="25">
        <f t="shared" si="11"/>
        <v>20362</v>
      </c>
    </row>
    <row r="228" spans="1:24" x14ac:dyDescent="0.25">
      <c r="A228">
        <v>239</v>
      </c>
      <c r="B228" t="s">
        <v>49</v>
      </c>
      <c r="C228" t="s">
        <v>974</v>
      </c>
      <c r="D228" t="s">
        <v>32</v>
      </c>
      <c r="E228" t="s">
        <v>61</v>
      </c>
      <c r="F228" t="s">
        <v>264</v>
      </c>
      <c r="G228" t="s">
        <v>49</v>
      </c>
      <c r="H228" t="b">
        <v>1</v>
      </c>
      <c r="I228" t="s">
        <v>1804</v>
      </c>
      <c r="J228" t="s">
        <v>975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27">
        <v>21427700000000</v>
      </c>
      <c r="R228">
        <v>78.5</v>
      </c>
      <c r="S228">
        <v>9.6</v>
      </c>
      <c r="T228">
        <v>36.6</v>
      </c>
      <c r="U228">
        <v>328239523</v>
      </c>
      <c r="V228">
        <f t="shared" ca="1" si="9"/>
        <v>51.058179329226554</v>
      </c>
      <c r="W228" s="25">
        <f t="shared" ca="1" si="10"/>
        <v>46215</v>
      </c>
      <c r="X228" s="25">
        <f t="shared" si="11"/>
        <v>27566</v>
      </c>
    </row>
    <row r="229" spans="1:24" x14ac:dyDescent="0.25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124</v>
      </c>
      <c r="G229" t="s">
        <v>21</v>
      </c>
      <c r="H229" t="b">
        <v>0</v>
      </c>
      <c r="I229" t="s">
        <v>1803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27">
        <v>21427700000000</v>
      </c>
      <c r="R229">
        <v>78.5</v>
      </c>
      <c r="S229">
        <v>9.6</v>
      </c>
      <c r="T229">
        <v>36.6</v>
      </c>
      <c r="U229">
        <v>328239523</v>
      </c>
      <c r="V229">
        <f t="shared" ca="1" si="9"/>
        <v>77.562640790157687</v>
      </c>
      <c r="W229" s="25">
        <f t="shared" ca="1" si="10"/>
        <v>46215</v>
      </c>
      <c r="X229" s="25">
        <f t="shared" si="11"/>
        <v>17885</v>
      </c>
    </row>
    <row r="230" spans="1:24" x14ac:dyDescent="0.25">
      <c r="A230">
        <v>239</v>
      </c>
      <c r="B230" t="s">
        <v>250</v>
      </c>
      <c r="C230" t="s">
        <v>979</v>
      </c>
      <c r="D230" t="s">
        <v>105</v>
      </c>
      <c r="E230" t="s">
        <v>980</v>
      </c>
      <c r="F230" t="s">
        <v>981</v>
      </c>
      <c r="G230" t="s">
        <v>250</v>
      </c>
      <c r="H230" t="b">
        <v>1</v>
      </c>
      <c r="I230" t="s">
        <v>1804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27">
        <v>19910000000000</v>
      </c>
      <c r="R230">
        <v>77</v>
      </c>
      <c r="S230">
        <v>9.4</v>
      </c>
      <c r="T230">
        <v>59.2</v>
      </c>
      <c r="U230">
        <v>1397715000</v>
      </c>
      <c r="V230">
        <f t="shared" ca="1" si="9"/>
        <v>58.526357308584686</v>
      </c>
      <c r="W230" s="25">
        <f t="shared" ca="1" si="10"/>
        <v>46215</v>
      </c>
      <c r="X230" s="25">
        <f t="shared" si="11"/>
        <v>24838</v>
      </c>
    </row>
    <row r="231" spans="1:24" x14ac:dyDescent="0.25">
      <c r="A231">
        <v>242</v>
      </c>
      <c r="B231" t="s">
        <v>59</v>
      </c>
      <c r="C231" t="s">
        <v>983</v>
      </c>
      <c r="D231" t="s">
        <v>32</v>
      </c>
      <c r="E231" t="s">
        <v>984</v>
      </c>
      <c r="F231" t="s">
        <v>985</v>
      </c>
      <c r="G231" t="s">
        <v>59</v>
      </c>
      <c r="H231" t="b">
        <v>0</v>
      </c>
      <c r="I231" t="s">
        <v>1804</v>
      </c>
      <c r="J231" t="s">
        <v>986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27">
        <v>21427700000000</v>
      </c>
      <c r="R231">
        <v>78.5</v>
      </c>
      <c r="S231">
        <v>9.6</v>
      </c>
      <c r="T231">
        <v>36.6</v>
      </c>
      <c r="U231">
        <v>328239523</v>
      </c>
      <c r="V231">
        <f t="shared" ca="1" si="9"/>
        <v>78.617385352498289</v>
      </c>
      <c r="W231" s="25">
        <f t="shared" ca="1" si="10"/>
        <v>46215</v>
      </c>
      <c r="X231" s="25">
        <f t="shared" si="11"/>
        <v>17500</v>
      </c>
    </row>
    <row r="232" spans="1:24" x14ac:dyDescent="0.25">
      <c r="A232">
        <v>242</v>
      </c>
      <c r="B232" t="s">
        <v>272</v>
      </c>
      <c r="C232" t="s">
        <v>987</v>
      </c>
      <c r="D232" t="s">
        <v>686</v>
      </c>
      <c r="E232" t="s">
        <v>988</v>
      </c>
      <c r="F232" t="s">
        <v>989</v>
      </c>
      <c r="G232" t="s">
        <v>272</v>
      </c>
      <c r="H232" t="b">
        <v>0</v>
      </c>
      <c r="I232" t="s">
        <v>1804</v>
      </c>
      <c r="J232" t="s">
        <v>990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27">
        <v>351431649241</v>
      </c>
      <c r="R232">
        <v>63.9</v>
      </c>
      <c r="S232">
        <v>27.5</v>
      </c>
      <c r="T232">
        <v>29.2</v>
      </c>
      <c r="U232">
        <v>58558270</v>
      </c>
      <c r="V232">
        <f t="shared" ca="1" si="9"/>
        <v>81.093756260434048</v>
      </c>
      <c r="W232" s="25">
        <f t="shared" ca="1" si="10"/>
        <v>46215</v>
      </c>
      <c r="X232" s="25">
        <f t="shared" si="11"/>
        <v>16596</v>
      </c>
    </row>
    <row r="233" spans="1:24" x14ac:dyDescent="0.25">
      <c r="A233">
        <v>242</v>
      </c>
      <c r="B233" t="s">
        <v>59</v>
      </c>
      <c r="C233" t="s">
        <v>992</v>
      </c>
      <c r="D233" t="s">
        <v>274</v>
      </c>
      <c r="E233" t="s">
        <v>993</v>
      </c>
      <c r="F233" t="s">
        <v>985</v>
      </c>
      <c r="G233" t="s">
        <v>59</v>
      </c>
      <c r="H233" t="b">
        <v>0</v>
      </c>
      <c r="I233" t="s">
        <v>1803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27">
        <v>1392680589329</v>
      </c>
      <c r="R233">
        <v>82.7</v>
      </c>
      <c r="S233">
        <v>23</v>
      </c>
      <c r="T233">
        <v>47.4</v>
      </c>
      <c r="U233">
        <v>25766605</v>
      </c>
      <c r="V233">
        <f t="shared" ca="1" si="9"/>
        <v>76.143045086047508</v>
      </c>
      <c r="W233" s="25">
        <f t="shared" ca="1" si="10"/>
        <v>46215</v>
      </c>
      <c r="X233" s="25">
        <f t="shared" si="11"/>
        <v>18404</v>
      </c>
    </row>
    <row r="234" spans="1:24" x14ac:dyDescent="0.25">
      <c r="A234">
        <v>242</v>
      </c>
      <c r="B234" t="s">
        <v>272</v>
      </c>
      <c r="C234" t="s">
        <v>996</v>
      </c>
      <c r="D234" t="s">
        <v>105</v>
      </c>
      <c r="E234" t="s">
        <v>997</v>
      </c>
      <c r="F234" t="s">
        <v>998</v>
      </c>
      <c r="G234" t="s">
        <v>272</v>
      </c>
      <c r="H234" t="b">
        <v>0</v>
      </c>
      <c r="I234" t="s">
        <v>1803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27">
        <v>19910000000000</v>
      </c>
      <c r="R234">
        <v>77</v>
      </c>
      <c r="S234">
        <v>9.4</v>
      </c>
      <c r="T234">
        <v>59.2</v>
      </c>
      <c r="U234">
        <v>1397715000</v>
      </c>
      <c r="V234">
        <f t="shared" ca="1" si="9"/>
        <v>80.526347811390906</v>
      </c>
      <c r="W234" s="25">
        <f t="shared" ca="1" si="10"/>
        <v>46215</v>
      </c>
      <c r="X234" s="25">
        <f t="shared" si="11"/>
        <v>16803</v>
      </c>
    </row>
    <row r="235" spans="1:24" x14ac:dyDescent="0.25">
      <c r="A235">
        <v>246</v>
      </c>
      <c r="B235" t="s">
        <v>21</v>
      </c>
      <c r="C235" t="s">
        <v>1001</v>
      </c>
      <c r="D235" t="s">
        <v>32</v>
      </c>
      <c r="E235" t="s">
        <v>1002</v>
      </c>
      <c r="F235" t="s">
        <v>1003</v>
      </c>
      <c r="G235" t="s">
        <v>21</v>
      </c>
      <c r="H235" t="b">
        <v>1</v>
      </c>
      <c r="I235" t="s">
        <v>1804</v>
      </c>
      <c r="J235" t="s">
        <v>1004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27">
        <v>21427700000000</v>
      </c>
      <c r="R235">
        <v>78.5</v>
      </c>
      <c r="S235">
        <v>9.6</v>
      </c>
      <c r="T235">
        <v>36.6</v>
      </c>
      <c r="U235">
        <v>328239523</v>
      </c>
      <c r="V235">
        <f t="shared" ca="1" si="9"/>
        <v>78.312805406342051</v>
      </c>
      <c r="W235" s="25">
        <f t="shared" ca="1" si="10"/>
        <v>46215</v>
      </c>
      <c r="X235" s="25">
        <f t="shared" si="11"/>
        <v>17611</v>
      </c>
    </row>
    <row r="236" spans="1:24" x14ac:dyDescent="0.25">
      <c r="A236">
        <v>249</v>
      </c>
      <c r="B236" t="s">
        <v>292</v>
      </c>
      <c r="C236" t="s">
        <v>1005</v>
      </c>
      <c r="D236" t="s">
        <v>327</v>
      </c>
      <c r="E236" t="s">
        <v>328</v>
      </c>
      <c r="F236" t="s">
        <v>619</v>
      </c>
      <c r="G236" t="s">
        <v>292</v>
      </c>
      <c r="H236" t="b">
        <v>1</v>
      </c>
      <c r="I236" t="s">
        <v>1804</v>
      </c>
      <c r="J236" t="s">
        <v>636</v>
      </c>
      <c r="K236" t="s">
        <v>1006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27">
        <v>1699876578871</v>
      </c>
      <c r="R236">
        <v>72.7</v>
      </c>
      <c r="S236">
        <v>11.4</v>
      </c>
      <c r="T236">
        <v>46.2</v>
      </c>
      <c r="U236">
        <v>144373535</v>
      </c>
      <c r="V236">
        <f t="shared" ca="1" si="9"/>
        <v>64.715921347382391</v>
      </c>
      <c r="W236" s="25">
        <f t="shared" ca="1" si="10"/>
        <v>46215</v>
      </c>
      <c r="X236" s="25">
        <f t="shared" si="11"/>
        <v>22578</v>
      </c>
    </row>
    <row r="237" spans="1:24" x14ac:dyDescent="0.25">
      <c r="A237">
        <v>249</v>
      </c>
      <c r="B237" t="s">
        <v>72</v>
      </c>
      <c r="C237" t="s">
        <v>1007</v>
      </c>
      <c r="D237" t="s">
        <v>565</v>
      </c>
      <c r="E237" t="s">
        <v>566</v>
      </c>
      <c r="F237" t="s">
        <v>567</v>
      </c>
      <c r="G237" t="s">
        <v>72</v>
      </c>
      <c r="H237" t="b">
        <v>0</v>
      </c>
      <c r="I237" t="s">
        <v>1804</v>
      </c>
      <c r="J237" t="s">
        <v>1008</v>
      </c>
      <c r="K237" t="s">
        <v>1009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27">
        <v>448120428859</v>
      </c>
      <c r="R237">
        <v>54.3</v>
      </c>
      <c r="S237">
        <v>1.5</v>
      </c>
      <c r="T237">
        <v>34.799999999999997</v>
      </c>
      <c r="U237">
        <v>200963599</v>
      </c>
      <c r="V237">
        <f t="shared" ca="1" si="9"/>
        <v>65.934986923831318</v>
      </c>
      <c r="W237" s="25">
        <f t="shared" ca="1" si="10"/>
        <v>46215</v>
      </c>
      <c r="X237" s="25">
        <f t="shared" si="11"/>
        <v>22132</v>
      </c>
    </row>
    <row r="238" spans="1:24" x14ac:dyDescent="0.25">
      <c r="A238">
        <v>249</v>
      </c>
      <c r="B238" t="s">
        <v>49</v>
      </c>
      <c r="C238" t="s">
        <v>1010</v>
      </c>
      <c r="D238" t="s">
        <v>32</v>
      </c>
      <c r="E238" t="s">
        <v>503</v>
      </c>
      <c r="F238" t="s">
        <v>802</v>
      </c>
      <c r="G238" t="s">
        <v>49</v>
      </c>
      <c r="H238" t="b">
        <v>1</v>
      </c>
      <c r="I238" t="s">
        <v>1804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27">
        <v>21427700000000</v>
      </c>
      <c r="R238">
        <v>78.5</v>
      </c>
      <c r="S238">
        <v>9.6</v>
      </c>
      <c r="T238">
        <v>36.6</v>
      </c>
      <c r="U238">
        <v>328239523</v>
      </c>
      <c r="V238">
        <f t="shared" ca="1" si="9"/>
        <v>82.82546201232033</v>
      </c>
      <c r="W238" s="25">
        <f t="shared" ca="1" si="10"/>
        <v>46215</v>
      </c>
      <c r="X238" s="25">
        <f t="shared" si="11"/>
        <v>15963</v>
      </c>
    </row>
    <row r="239" spans="1:24" x14ac:dyDescent="0.25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1804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27">
        <v>2611000000000</v>
      </c>
      <c r="R239">
        <v>69.400000000000006</v>
      </c>
      <c r="S239">
        <v>11.2</v>
      </c>
      <c r="T239">
        <v>49.7</v>
      </c>
      <c r="U239">
        <v>1366417754</v>
      </c>
      <c r="V239">
        <f t="shared" ca="1" si="9"/>
        <v>94.907597535934286</v>
      </c>
      <c r="W239" s="25">
        <f t="shared" ca="1" si="10"/>
        <v>46215</v>
      </c>
      <c r="X239" s="25">
        <f t="shared" si="11"/>
        <v>11550</v>
      </c>
    </row>
    <row r="240" spans="1:24" x14ac:dyDescent="0.25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1804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27">
        <v>19910000000000</v>
      </c>
      <c r="R240">
        <v>77</v>
      </c>
      <c r="S240">
        <v>9.4</v>
      </c>
      <c r="T240">
        <v>59.2</v>
      </c>
      <c r="U240">
        <v>1397715000</v>
      </c>
      <c r="V240">
        <f t="shared" ca="1" si="9"/>
        <v>71.778907099726212</v>
      </c>
      <c r="W240" s="25">
        <f t="shared" ca="1" si="10"/>
        <v>46215</v>
      </c>
      <c r="X240" s="25">
        <f t="shared" si="11"/>
        <v>19998</v>
      </c>
    </row>
    <row r="241" spans="1:24" x14ac:dyDescent="0.25">
      <c r="A241">
        <v>249</v>
      </c>
      <c r="B241" t="s">
        <v>462</v>
      </c>
      <c r="C241" t="s">
        <v>1017</v>
      </c>
      <c r="D241" t="s">
        <v>105</v>
      </c>
      <c r="E241" t="s">
        <v>336</v>
      </c>
      <c r="F241" t="s">
        <v>465</v>
      </c>
      <c r="G241" t="s">
        <v>462</v>
      </c>
      <c r="H241" t="b">
        <v>0</v>
      </c>
      <c r="I241" t="s">
        <v>1803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27">
        <v>19910000000000</v>
      </c>
      <c r="R241">
        <v>77</v>
      </c>
      <c r="S241">
        <v>9.4</v>
      </c>
      <c r="T241">
        <v>59.2</v>
      </c>
      <c r="U241">
        <v>1397715000</v>
      </c>
      <c r="V241">
        <f t="shared" ca="1" si="9"/>
        <v>44.789833938456042</v>
      </c>
      <c r="W241" s="25">
        <f t="shared" ca="1" si="10"/>
        <v>46215</v>
      </c>
      <c r="X241" s="25">
        <f t="shared" si="11"/>
        <v>29856</v>
      </c>
    </row>
    <row r="242" spans="1:24" x14ac:dyDescent="0.25">
      <c r="A242">
        <v>256</v>
      </c>
      <c r="B242" t="s">
        <v>72</v>
      </c>
      <c r="C242" t="s">
        <v>1020</v>
      </c>
      <c r="D242" t="s">
        <v>23</v>
      </c>
      <c r="E242" t="s">
        <v>24</v>
      </c>
      <c r="F242" t="s">
        <v>72</v>
      </c>
      <c r="G242" t="s">
        <v>72</v>
      </c>
      <c r="H242" t="b">
        <v>0</v>
      </c>
      <c r="I242" t="s">
        <v>1804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27">
        <v>2715518274227</v>
      </c>
      <c r="R242">
        <v>82.5</v>
      </c>
      <c r="S242">
        <v>24.2</v>
      </c>
      <c r="T242">
        <v>60.7</v>
      </c>
      <c r="U242">
        <v>67059887</v>
      </c>
      <c r="V242">
        <f t="shared" ca="1" si="9"/>
        <v>73.014355483202607</v>
      </c>
      <c r="W242" s="25">
        <f t="shared" ca="1" si="10"/>
        <v>46215</v>
      </c>
      <c r="X242" s="25">
        <f t="shared" si="11"/>
        <v>19547</v>
      </c>
    </row>
    <row r="243" spans="1:24" x14ac:dyDescent="0.25">
      <c r="A243">
        <v>256</v>
      </c>
      <c r="B243" t="s">
        <v>72</v>
      </c>
      <c r="C243" t="s">
        <v>1023</v>
      </c>
      <c r="D243" t="s">
        <v>23</v>
      </c>
      <c r="E243" t="s">
        <v>24</v>
      </c>
      <c r="F243" t="s">
        <v>72</v>
      </c>
      <c r="G243" t="s">
        <v>72</v>
      </c>
      <c r="H243" t="b">
        <v>0</v>
      </c>
      <c r="I243" t="s">
        <v>1804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27">
        <v>2715518274227</v>
      </c>
      <c r="R243">
        <v>82.5</v>
      </c>
      <c r="S243">
        <v>24.2</v>
      </c>
      <c r="T243">
        <v>60.7</v>
      </c>
      <c r="U243">
        <v>67059887</v>
      </c>
      <c r="V243">
        <f t="shared" ca="1" si="9"/>
        <v>69.296358587241372</v>
      </c>
      <c r="W243" s="25">
        <f t="shared" ca="1" si="10"/>
        <v>46215</v>
      </c>
      <c r="X243" s="25">
        <f t="shared" si="11"/>
        <v>20905</v>
      </c>
    </row>
    <row r="244" spans="1:24" x14ac:dyDescent="0.25">
      <c r="A244">
        <v>256</v>
      </c>
      <c r="B244" t="s">
        <v>103</v>
      </c>
      <c r="C244" t="s">
        <v>1025</v>
      </c>
      <c r="D244" t="s">
        <v>32</v>
      </c>
      <c r="E244" t="s">
        <v>742</v>
      </c>
      <c r="F244" t="s">
        <v>1026</v>
      </c>
      <c r="G244" t="s">
        <v>103</v>
      </c>
      <c r="H244" t="b">
        <v>1</v>
      </c>
      <c r="I244" t="s">
        <v>1804</v>
      </c>
      <c r="J244" t="s">
        <v>1027</v>
      </c>
      <c r="K244" t="s">
        <v>1028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27">
        <v>21427700000000</v>
      </c>
      <c r="R244">
        <v>78.5</v>
      </c>
      <c r="S244">
        <v>9.6</v>
      </c>
      <c r="T244">
        <v>36.6</v>
      </c>
      <c r="U244">
        <v>328239523</v>
      </c>
      <c r="V244">
        <f t="shared" ca="1" si="9"/>
        <v>69.047209293229557</v>
      </c>
      <c r="W244" s="25">
        <f t="shared" ca="1" si="10"/>
        <v>46215</v>
      </c>
      <c r="X244" s="25">
        <f t="shared" si="11"/>
        <v>20996</v>
      </c>
    </row>
    <row r="245" spans="1:24" x14ac:dyDescent="0.25">
      <c r="A245">
        <v>256</v>
      </c>
      <c r="B245" t="s">
        <v>72</v>
      </c>
      <c r="C245" t="s">
        <v>1029</v>
      </c>
      <c r="D245" t="s">
        <v>23</v>
      </c>
      <c r="E245" t="s">
        <v>24</v>
      </c>
      <c r="F245" t="s">
        <v>72</v>
      </c>
      <c r="G245" t="s">
        <v>72</v>
      </c>
      <c r="H245" t="b">
        <v>0</v>
      </c>
      <c r="I245" t="s">
        <v>1803</v>
      </c>
      <c r="J245" t="s">
        <v>1030</v>
      </c>
      <c r="K245" t="s">
        <v>1031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27">
        <v>2715518274227</v>
      </c>
      <c r="R245">
        <v>82.5</v>
      </c>
      <c r="S245">
        <v>24.2</v>
      </c>
      <c r="T245">
        <v>60.7</v>
      </c>
      <c r="U245">
        <v>67059887</v>
      </c>
      <c r="V245">
        <f t="shared" ca="1" si="9"/>
        <v>61.271715610510043</v>
      </c>
      <c r="W245" s="25">
        <f t="shared" ca="1" si="10"/>
        <v>46215</v>
      </c>
      <c r="X245" s="25">
        <f t="shared" si="11"/>
        <v>23836</v>
      </c>
    </row>
    <row r="246" spans="1:24" x14ac:dyDescent="0.25">
      <c r="A246">
        <v>256</v>
      </c>
      <c r="B246" t="s">
        <v>196</v>
      </c>
      <c r="C246" t="s">
        <v>1032</v>
      </c>
      <c r="D246" t="s">
        <v>170</v>
      </c>
      <c r="E246" t="s">
        <v>1033</v>
      </c>
      <c r="F246" t="s">
        <v>1034</v>
      </c>
      <c r="G246" t="s">
        <v>196</v>
      </c>
      <c r="H246" t="b">
        <v>1</v>
      </c>
      <c r="I246" t="s">
        <v>1804</v>
      </c>
      <c r="J246" t="s">
        <v>1035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27">
        <v>703082435360</v>
      </c>
      <c r="R246">
        <v>83.6</v>
      </c>
      <c r="S246">
        <v>10.1</v>
      </c>
      <c r="T246">
        <v>28.8</v>
      </c>
      <c r="U246">
        <v>8574832</v>
      </c>
      <c r="V246">
        <f t="shared" ca="1" si="9"/>
        <v>57.326472809667671</v>
      </c>
      <c r="W246" s="25">
        <f t="shared" ca="1" si="10"/>
        <v>46215</v>
      </c>
      <c r="X246" s="25">
        <f t="shared" si="11"/>
        <v>25277</v>
      </c>
    </row>
    <row r="247" spans="1:24" x14ac:dyDescent="0.25">
      <c r="A247">
        <v>261</v>
      </c>
      <c r="B247" t="s">
        <v>38</v>
      </c>
      <c r="C247" t="s">
        <v>1037</v>
      </c>
      <c r="D247" t="s">
        <v>32</v>
      </c>
      <c r="E247" t="s">
        <v>856</v>
      </c>
      <c r="F247" t="s">
        <v>857</v>
      </c>
      <c r="G247" t="s">
        <v>38</v>
      </c>
      <c r="H247" t="b">
        <v>1</v>
      </c>
      <c r="I247" t="s">
        <v>1804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27">
        <v>21427700000000</v>
      </c>
      <c r="R247">
        <v>78.5</v>
      </c>
      <c r="S247">
        <v>9.6</v>
      </c>
      <c r="T247">
        <v>36.6</v>
      </c>
      <c r="U247">
        <v>328239523</v>
      </c>
      <c r="V247">
        <f t="shared" ca="1" si="9"/>
        <v>43.08555783709788</v>
      </c>
      <c r="W247" s="25">
        <f t="shared" ca="1" si="10"/>
        <v>46215</v>
      </c>
      <c r="X247" s="25">
        <f t="shared" si="11"/>
        <v>30478</v>
      </c>
    </row>
    <row r="248" spans="1:24" x14ac:dyDescent="0.25">
      <c r="A248">
        <v>261</v>
      </c>
      <c r="B248" t="s">
        <v>292</v>
      </c>
      <c r="C248" t="s">
        <v>1040</v>
      </c>
      <c r="D248" t="s">
        <v>327</v>
      </c>
      <c r="E248" t="s">
        <v>328</v>
      </c>
      <c r="F248" t="s">
        <v>403</v>
      </c>
      <c r="G248" t="s">
        <v>292</v>
      </c>
      <c r="H248" t="b">
        <v>1</v>
      </c>
      <c r="I248" t="s">
        <v>1804</v>
      </c>
      <c r="J248" t="s">
        <v>1041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27">
        <v>1699876578871</v>
      </c>
      <c r="R248">
        <v>72.7</v>
      </c>
      <c r="S248">
        <v>11.4</v>
      </c>
      <c r="T248">
        <v>46.2</v>
      </c>
      <c r="U248">
        <v>144373535</v>
      </c>
      <c r="V248">
        <f t="shared" ca="1" si="9"/>
        <v>70.266263062507221</v>
      </c>
      <c r="W248" s="25">
        <f t="shared" ca="1" si="10"/>
        <v>46215</v>
      </c>
      <c r="X248" s="25">
        <f t="shared" si="11"/>
        <v>20550</v>
      </c>
    </row>
    <row r="249" spans="1:24" x14ac:dyDescent="0.25">
      <c r="A249">
        <v>261</v>
      </c>
      <c r="B249" t="s">
        <v>21</v>
      </c>
      <c r="C249" t="s">
        <v>1042</v>
      </c>
      <c r="D249" t="s">
        <v>32</v>
      </c>
      <c r="E249" t="s">
        <v>984</v>
      </c>
      <c r="F249" t="s">
        <v>1043</v>
      </c>
      <c r="G249" t="s">
        <v>21</v>
      </c>
      <c r="H249" t="b">
        <v>1</v>
      </c>
      <c r="I249" t="s">
        <v>1804</v>
      </c>
      <c r="J249" t="s">
        <v>1044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27">
        <v>21427700000000</v>
      </c>
      <c r="R249">
        <v>78.5</v>
      </c>
      <c r="S249">
        <v>9.6</v>
      </c>
      <c r="T249">
        <v>36.6</v>
      </c>
      <c r="U249">
        <v>328239523</v>
      </c>
      <c r="V249">
        <f t="shared" ca="1" si="9"/>
        <v>97.167681734368884</v>
      </c>
      <c r="W249" s="25">
        <f t="shared" ca="1" si="10"/>
        <v>46215</v>
      </c>
      <c r="X249" s="25">
        <f t="shared" si="11"/>
        <v>10725</v>
      </c>
    </row>
    <row r="250" spans="1:24" x14ac:dyDescent="0.25">
      <c r="A250">
        <v>261</v>
      </c>
      <c r="B250" t="s">
        <v>49</v>
      </c>
      <c r="C250" t="s">
        <v>1045</v>
      </c>
      <c r="D250" t="s">
        <v>32</v>
      </c>
      <c r="E250" t="s">
        <v>1046</v>
      </c>
      <c r="F250" t="s">
        <v>1047</v>
      </c>
      <c r="G250" t="s">
        <v>49</v>
      </c>
      <c r="H250" t="b">
        <v>1</v>
      </c>
      <c r="I250" t="s">
        <v>1804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27">
        <v>21427700000000</v>
      </c>
      <c r="R250">
        <v>78.5</v>
      </c>
      <c r="S250">
        <v>9.6</v>
      </c>
      <c r="T250">
        <v>36.6</v>
      </c>
      <c r="U250">
        <v>328239523</v>
      </c>
      <c r="V250">
        <f t="shared" ca="1" si="9"/>
        <v>89.159467023606709</v>
      </c>
      <c r="W250" s="25">
        <f t="shared" ca="1" si="10"/>
        <v>46215</v>
      </c>
      <c r="X250" s="25">
        <f t="shared" si="11"/>
        <v>13650</v>
      </c>
    </row>
    <row r="251" spans="1:24" x14ac:dyDescent="0.25">
      <c r="A251">
        <v>261</v>
      </c>
      <c r="B251" t="s">
        <v>49</v>
      </c>
      <c r="C251" t="s">
        <v>1050</v>
      </c>
      <c r="D251" t="s">
        <v>32</v>
      </c>
      <c r="E251" t="s">
        <v>33</v>
      </c>
      <c r="F251" t="s">
        <v>802</v>
      </c>
      <c r="G251" t="s">
        <v>49</v>
      </c>
      <c r="H251" t="b">
        <v>1</v>
      </c>
      <c r="I251" t="s">
        <v>1804</v>
      </c>
      <c r="J251" t="s">
        <v>1051</v>
      </c>
      <c r="K251" t="s">
        <v>1052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27">
        <v>21427700000000</v>
      </c>
      <c r="R251">
        <v>78.5</v>
      </c>
      <c r="S251">
        <v>9.6</v>
      </c>
      <c r="T251">
        <v>36.6</v>
      </c>
      <c r="U251">
        <v>328239523</v>
      </c>
      <c r="V251">
        <f t="shared" ca="1" si="9"/>
        <v>63.611895033907587</v>
      </c>
      <c r="W251" s="25">
        <f t="shared" ca="1" si="10"/>
        <v>46215</v>
      </c>
      <c r="X251" s="25">
        <f t="shared" si="11"/>
        <v>22981</v>
      </c>
    </row>
    <row r="252" spans="1:24" x14ac:dyDescent="0.25">
      <c r="A252">
        <v>261</v>
      </c>
      <c r="B252" t="s">
        <v>272</v>
      </c>
      <c r="C252" t="s">
        <v>1053</v>
      </c>
      <c r="D252" t="s">
        <v>487</v>
      </c>
      <c r="E252" t="s">
        <v>488</v>
      </c>
      <c r="F252" t="s">
        <v>1054</v>
      </c>
      <c r="G252" t="s">
        <v>272</v>
      </c>
      <c r="H252" t="b">
        <v>1</v>
      </c>
      <c r="I252" t="s">
        <v>1804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27">
        <v>246489245495</v>
      </c>
      <c r="R252">
        <v>79</v>
      </c>
      <c r="S252">
        <v>14.9</v>
      </c>
      <c r="T252">
        <v>46.1</v>
      </c>
      <c r="U252">
        <v>10669709</v>
      </c>
      <c r="V252">
        <f t="shared" ca="1" si="9"/>
        <v>62.156751119030027</v>
      </c>
      <c r="W252" s="25">
        <f t="shared" ca="1" si="10"/>
        <v>46215</v>
      </c>
      <c r="X252" s="25">
        <f t="shared" si="11"/>
        <v>23512</v>
      </c>
    </row>
    <row r="253" spans="1:24" x14ac:dyDescent="0.25">
      <c r="A253">
        <v>268</v>
      </c>
      <c r="B253" t="s">
        <v>49</v>
      </c>
      <c r="C253" t="s">
        <v>1056</v>
      </c>
      <c r="D253" t="s">
        <v>32</v>
      </c>
      <c r="E253" t="s">
        <v>1057</v>
      </c>
      <c r="F253" t="s">
        <v>802</v>
      </c>
      <c r="G253" t="s">
        <v>49</v>
      </c>
      <c r="H253" t="b">
        <v>1</v>
      </c>
      <c r="I253" t="s">
        <v>1804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27">
        <v>21427700000000</v>
      </c>
      <c r="R253">
        <v>78.5</v>
      </c>
      <c r="S253">
        <v>9.6</v>
      </c>
      <c r="T253">
        <v>36.6</v>
      </c>
      <c r="U253">
        <v>328239523</v>
      </c>
      <c r="V253">
        <f t="shared" ca="1" si="9"/>
        <v>55.800806955185166</v>
      </c>
      <c r="W253" s="25">
        <f t="shared" ca="1" si="10"/>
        <v>46215</v>
      </c>
      <c r="X253" s="25">
        <f t="shared" si="11"/>
        <v>25834</v>
      </c>
    </row>
    <row r="254" spans="1:24" x14ac:dyDescent="0.25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1804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27">
        <v>19910000000000</v>
      </c>
      <c r="R254">
        <v>77</v>
      </c>
      <c r="S254">
        <v>9.4</v>
      </c>
      <c r="T254">
        <v>59.2</v>
      </c>
      <c r="U254">
        <v>1397715000</v>
      </c>
      <c r="V254">
        <f t="shared" ca="1" si="9"/>
        <v>55.61189298237187</v>
      </c>
      <c r="W254" s="25">
        <f t="shared" ca="1" si="10"/>
        <v>46215</v>
      </c>
      <c r="X254" s="25">
        <f t="shared" si="11"/>
        <v>25903</v>
      </c>
    </row>
    <row r="255" spans="1:24" x14ac:dyDescent="0.25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124</v>
      </c>
      <c r="G255" t="s">
        <v>21</v>
      </c>
      <c r="H255" t="b">
        <v>0</v>
      </c>
      <c r="I255" t="s">
        <v>1803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27">
        <v>21427700000000</v>
      </c>
      <c r="R255">
        <v>78.5</v>
      </c>
      <c r="S255">
        <v>9.6</v>
      </c>
      <c r="T255">
        <v>36.6</v>
      </c>
      <c r="U255">
        <v>328239523</v>
      </c>
      <c r="V255">
        <f t="shared" ca="1" si="9"/>
        <v>75.15947980835044</v>
      </c>
      <c r="W255" s="25">
        <f t="shared" ca="1" si="10"/>
        <v>46215</v>
      </c>
      <c r="X255" s="25">
        <f t="shared" si="11"/>
        <v>18763</v>
      </c>
    </row>
    <row r="256" spans="1:24" x14ac:dyDescent="0.25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1069</v>
      </c>
      <c r="G256" t="s">
        <v>38</v>
      </c>
      <c r="H256" t="b">
        <v>0</v>
      </c>
      <c r="I256" t="s">
        <v>1804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27">
        <v>2029000000000</v>
      </c>
      <c r="R256">
        <v>82.6</v>
      </c>
      <c r="S256">
        <v>15.6</v>
      </c>
      <c r="T256">
        <v>33.200000000000003</v>
      </c>
      <c r="U256">
        <v>51709098</v>
      </c>
      <c r="V256">
        <f t="shared" ca="1" si="9"/>
        <v>58.049976798143852</v>
      </c>
      <c r="W256" s="25">
        <f t="shared" ca="1" si="10"/>
        <v>46215</v>
      </c>
      <c r="X256" s="25">
        <f t="shared" si="11"/>
        <v>25012</v>
      </c>
    </row>
    <row r="257" spans="1:24" x14ac:dyDescent="0.25">
      <c r="A257">
        <v>268</v>
      </c>
      <c r="B257" t="s">
        <v>49</v>
      </c>
      <c r="C257" t="s">
        <v>1072</v>
      </c>
      <c r="D257" t="s">
        <v>32</v>
      </c>
      <c r="E257" t="s">
        <v>61</v>
      </c>
      <c r="F257" t="s">
        <v>802</v>
      </c>
      <c r="G257" t="s">
        <v>49</v>
      </c>
      <c r="H257" t="b">
        <v>1</v>
      </c>
      <c r="I257" t="s">
        <v>1804</v>
      </c>
      <c r="J257" t="s">
        <v>1073</v>
      </c>
      <c r="K257" t="s">
        <v>1074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27">
        <v>21427700000000</v>
      </c>
      <c r="R257">
        <v>78.5</v>
      </c>
      <c r="S257">
        <v>9.6</v>
      </c>
      <c r="T257">
        <v>36.6</v>
      </c>
      <c r="U257">
        <v>328239523</v>
      </c>
      <c r="V257">
        <f t="shared" ca="1" si="9"/>
        <v>57.814524361948955</v>
      </c>
      <c r="W257" s="25">
        <f t="shared" ca="1" si="10"/>
        <v>46215</v>
      </c>
      <c r="X257" s="25">
        <f t="shared" si="11"/>
        <v>25098</v>
      </c>
    </row>
    <row r="258" spans="1:24" x14ac:dyDescent="0.25">
      <c r="A258">
        <v>268</v>
      </c>
      <c r="B258" t="s">
        <v>49</v>
      </c>
      <c r="C258" t="s">
        <v>1075</v>
      </c>
      <c r="D258" t="s">
        <v>32</v>
      </c>
      <c r="E258" t="s">
        <v>61</v>
      </c>
      <c r="F258" t="s">
        <v>204</v>
      </c>
      <c r="G258" t="s">
        <v>49</v>
      </c>
      <c r="H258" t="b">
        <v>1</v>
      </c>
      <c r="I258" t="s">
        <v>1804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27">
        <v>21427700000000</v>
      </c>
      <c r="R258">
        <v>78.5</v>
      </c>
      <c r="S258">
        <v>9.6</v>
      </c>
      <c r="T258">
        <v>36.6</v>
      </c>
      <c r="U258">
        <v>328239523</v>
      </c>
      <c r="V258">
        <f t="shared" ref="V258:V321" ca="1" si="12">YEARFRAC(X258,W258,1)</f>
        <v>75.288158795345652</v>
      </c>
      <c r="W258" s="25">
        <f t="shared" ca="1" si="10"/>
        <v>46215</v>
      </c>
      <c r="X258" s="25">
        <f t="shared" si="11"/>
        <v>18716</v>
      </c>
    </row>
    <row r="259" spans="1:24" x14ac:dyDescent="0.25">
      <c r="A259">
        <v>268</v>
      </c>
      <c r="B259" t="s">
        <v>272</v>
      </c>
      <c r="C259" t="s">
        <v>1077</v>
      </c>
      <c r="D259" t="s">
        <v>327</v>
      </c>
      <c r="E259" t="s">
        <v>328</v>
      </c>
      <c r="F259" t="s">
        <v>1078</v>
      </c>
      <c r="G259" t="s">
        <v>272</v>
      </c>
      <c r="H259" t="b">
        <v>1</v>
      </c>
      <c r="I259" t="s">
        <v>1804</v>
      </c>
      <c r="J259" t="s">
        <v>1079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27">
        <v>1699876578871</v>
      </c>
      <c r="R259">
        <v>72.7</v>
      </c>
      <c r="S259">
        <v>11.4</v>
      </c>
      <c r="T259">
        <v>46.2</v>
      </c>
      <c r="U259">
        <v>144373535</v>
      </c>
      <c r="V259">
        <f t="shared" ca="1" si="12"/>
        <v>60.446947935368044</v>
      </c>
      <c r="W259" s="25">
        <f t="shared" ref="W259:W322" ca="1" si="13">TODAY()</f>
        <v>46215</v>
      </c>
      <c r="X259" s="25">
        <f t="shared" ref="X259:X322" si="14">DATE(M259,N259,O259)</f>
        <v>24137</v>
      </c>
    </row>
    <row r="260" spans="1:24" x14ac:dyDescent="0.25">
      <c r="A260">
        <v>268</v>
      </c>
      <c r="B260" t="s">
        <v>72</v>
      </c>
      <c r="C260" t="s">
        <v>1080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1804</v>
      </c>
      <c r="J260" t="s">
        <v>1083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27">
        <v>446314739528</v>
      </c>
      <c r="R260">
        <v>81.599999999999994</v>
      </c>
      <c r="S260">
        <v>25.4</v>
      </c>
      <c r="T260">
        <v>51.4</v>
      </c>
      <c r="U260">
        <v>8877067</v>
      </c>
      <c r="V260">
        <f t="shared" ca="1" si="12"/>
        <v>53.82273881228533</v>
      </c>
      <c r="W260" s="25">
        <f t="shared" ca="1" si="13"/>
        <v>46215</v>
      </c>
      <c r="X260" s="25">
        <f t="shared" si="14"/>
        <v>26556</v>
      </c>
    </row>
    <row r="261" spans="1:24" x14ac:dyDescent="0.25">
      <c r="A261">
        <v>276</v>
      </c>
      <c r="B261" t="s">
        <v>65</v>
      </c>
      <c r="C261" t="s">
        <v>1084</v>
      </c>
      <c r="D261" t="s">
        <v>32</v>
      </c>
      <c r="E261" t="s">
        <v>1085</v>
      </c>
      <c r="F261" t="s">
        <v>65</v>
      </c>
      <c r="G261" t="s">
        <v>65</v>
      </c>
      <c r="H261" t="b">
        <v>1</v>
      </c>
      <c r="I261" t="s">
        <v>1804</v>
      </c>
      <c r="J261" t="s">
        <v>1086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27">
        <v>21427700000000</v>
      </c>
      <c r="R261">
        <v>78.5</v>
      </c>
      <c r="S261">
        <v>9.6</v>
      </c>
      <c r="T261">
        <v>36.6</v>
      </c>
      <c r="U261">
        <v>328239523</v>
      </c>
      <c r="V261">
        <f t="shared" ca="1" si="12"/>
        <v>76.628312682087824</v>
      </c>
      <c r="W261" s="25">
        <f t="shared" ca="1" si="13"/>
        <v>46215</v>
      </c>
      <c r="X261" s="25">
        <f t="shared" si="14"/>
        <v>18227</v>
      </c>
    </row>
    <row r="262" spans="1:24" x14ac:dyDescent="0.25">
      <c r="A262">
        <v>276</v>
      </c>
      <c r="B262" t="s">
        <v>250</v>
      </c>
      <c r="C262" t="s">
        <v>1088</v>
      </c>
      <c r="D262" t="s">
        <v>105</v>
      </c>
      <c r="E262" t="s">
        <v>106</v>
      </c>
      <c r="F262" t="s">
        <v>1089</v>
      </c>
      <c r="G262" t="s">
        <v>250</v>
      </c>
      <c r="H262" t="b">
        <v>1</v>
      </c>
      <c r="I262" t="s">
        <v>1804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27">
        <v>19910000000000</v>
      </c>
      <c r="R262">
        <v>77</v>
      </c>
      <c r="S262">
        <v>9.4</v>
      </c>
      <c r="T262">
        <v>59.2</v>
      </c>
      <c r="U262">
        <v>1397715000</v>
      </c>
      <c r="V262">
        <f t="shared" ca="1" si="12"/>
        <v>70.028072340261446</v>
      </c>
      <c r="W262" s="25">
        <f t="shared" ca="1" si="13"/>
        <v>46215</v>
      </c>
      <c r="X262" s="25">
        <f t="shared" si="14"/>
        <v>20637</v>
      </c>
    </row>
    <row r="263" spans="1:24" x14ac:dyDescent="0.25">
      <c r="A263">
        <v>276</v>
      </c>
      <c r="B263" t="s">
        <v>38</v>
      </c>
      <c r="C263" t="s">
        <v>1091</v>
      </c>
      <c r="D263" t="s">
        <v>105</v>
      </c>
      <c r="E263" t="s">
        <v>246</v>
      </c>
      <c r="F263" t="s">
        <v>1092</v>
      </c>
      <c r="G263" t="s">
        <v>38</v>
      </c>
      <c r="H263" t="b">
        <v>1</v>
      </c>
      <c r="I263" t="s">
        <v>1804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27">
        <v>19910000000000</v>
      </c>
      <c r="R263">
        <v>77</v>
      </c>
      <c r="S263">
        <v>9.4</v>
      </c>
      <c r="T263">
        <v>59.2</v>
      </c>
      <c r="U263">
        <v>1397715000</v>
      </c>
      <c r="V263">
        <f t="shared" ca="1" si="12"/>
        <v>56.52087035880686</v>
      </c>
      <c r="W263" s="25">
        <f t="shared" ca="1" si="13"/>
        <v>46215</v>
      </c>
      <c r="X263" s="25">
        <f t="shared" si="14"/>
        <v>25571</v>
      </c>
    </row>
    <row r="264" spans="1:24" x14ac:dyDescent="0.25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1096</v>
      </c>
      <c r="G264" t="s">
        <v>250</v>
      </c>
      <c r="H264" t="b">
        <v>1</v>
      </c>
      <c r="I264" t="s">
        <v>1804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27">
        <v>19910000000000</v>
      </c>
      <c r="R264">
        <v>77</v>
      </c>
      <c r="S264">
        <v>9.4</v>
      </c>
      <c r="T264">
        <v>59.2</v>
      </c>
      <c r="U264">
        <v>1397715000</v>
      </c>
      <c r="V264">
        <f t="shared" ca="1" si="12"/>
        <v>61.943201077745428</v>
      </c>
      <c r="W264" s="25">
        <f t="shared" ca="1" si="13"/>
        <v>46215</v>
      </c>
      <c r="X264" s="25">
        <f t="shared" si="14"/>
        <v>23590</v>
      </c>
    </row>
    <row r="265" spans="1:24" x14ac:dyDescent="0.25">
      <c r="A265">
        <v>282</v>
      </c>
      <c r="B265" t="s">
        <v>103</v>
      </c>
      <c r="C265" t="s">
        <v>1099</v>
      </c>
      <c r="D265" t="s">
        <v>23</v>
      </c>
      <c r="E265" t="s">
        <v>365</v>
      </c>
      <c r="F265" t="s">
        <v>366</v>
      </c>
      <c r="G265" t="s">
        <v>103</v>
      </c>
      <c r="H265" t="b">
        <v>0</v>
      </c>
      <c r="I265" t="s">
        <v>1804</v>
      </c>
      <c r="J265" t="s">
        <v>367</v>
      </c>
      <c r="K265" t="s">
        <v>1100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27">
        <v>2715518274227</v>
      </c>
      <c r="R265">
        <v>82.5</v>
      </c>
      <c r="S265">
        <v>24.2</v>
      </c>
      <c r="T265">
        <v>60.7</v>
      </c>
      <c r="U265">
        <v>67059887</v>
      </c>
      <c r="V265">
        <f t="shared" ca="1" si="12"/>
        <v>59.101984941820668</v>
      </c>
      <c r="W265" s="25">
        <f t="shared" ca="1" si="13"/>
        <v>46215</v>
      </c>
      <c r="X265" s="25">
        <f t="shared" si="14"/>
        <v>24628</v>
      </c>
    </row>
    <row r="266" spans="1:24" x14ac:dyDescent="0.25">
      <c r="A266">
        <v>282</v>
      </c>
      <c r="B266" t="s">
        <v>103</v>
      </c>
      <c r="C266" t="s">
        <v>1101</v>
      </c>
      <c r="D266" t="s">
        <v>23</v>
      </c>
      <c r="E266" t="s">
        <v>365</v>
      </c>
      <c r="F266" t="s">
        <v>366</v>
      </c>
      <c r="G266" t="s">
        <v>103</v>
      </c>
      <c r="H266" t="b">
        <v>0</v>
      </c>
      <c r="I266" t="s">
        <v>1803</v>
      </c>
      <c r="J266" t="s">
        <v>1102</v>
      </c>
      <c r="K266" t="s">
        <v>1103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27">
        <v>2715518274227</v>
      </c>
      <c r="R266">
        <v>82.5</v>
      </c>
      <c r="S266">
        <v>24.2</v>
      </c>
      <c r="T266">
        <v>60.7</v>
      </c>
      <c r="U266">
        <v>67059887</v>
      </c>
      <c r="V266">
        <f t="shared" ca="1" si="12"/>
        <v>45.948680608143533</v>
      </c>
      <c r="W266" s="25">
        <f t="shared" ca="1" si="13"/>
        <v>46215</v>
      </c>
      <c r="X266" s="25">
        <f t="shared" si="14"/>
        <v>29432</v>
      </c>
    </row>
    <row r="267" spans="1:24" x14ac:dyDescent="0.25">
      <c r="A267">
        <v>282</v>
      </c>
      <c r="B267" t="s">
        <v>59</v>
      </c>
      <c r="C267" t="s">
        <v>1104</v>
      </c>
      <c r="D267" t="s">
        <v>32</v>
      </c>
      <c r="E267" t="s">
        <v>886</v>
      </c>
      <c r="F267" t="s">
        <v>1105</v>
      </c>
      <c r="G267" t="s">
        <v>59</v>
      </c>
      <c r="H267" t="b">
        <v>1</v>
      </c>
      <c r="I267" t="s">
        <v>1804</v>
      </c>
      <c r="J267" t="s">
        <v>1106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27">
        <v>21427700000000</v>
      </c>
      <c r="R267">
        <v>78.5</v>
      </c>
      <c r="S267">
        <v>9.6</v>
      </c>
      <c r="T267">
        <v>36.6</v>
      </c>
      <c r="U267">
        <v>328239523</v>
      </c>
      <c r="V267">
        <f t="shared" ca="1" si="12"/>
        <v>83.386721423682403</v>
      </c>
      <c r="W267" s="25">
        <f t="shared" ca="1" si="13"/>
        <v>46215</v>
      </c>
      <c r="X267" s="25">
        <f t="shared" si="14"/>
        <v>15758</v>
      </c>
    </row>
    <row r="268" spans="1:24" x14ac:dyDescent="0.25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1804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27">
        <v>19910000000000</v>
      </c>
      <c r="R268">
        <v>77</v>
      </c>
      <c r="S268">
        <v>9.4</v>
      </c>
      <c r="T268">
        <v>59.2</v>
      </c>
      <c r="U268">
        <v>1397715000</v>
      </c>
      <c r="V268">
        <f t="shared" ca="1" si="12"/>
        <v>57.647517401392115</v>
      </c>
      <c r="W268" s="25">
        <f t="shared" ca="1" si="13"/>
        <v>46215</v>
      </c>
      <c r="X268" s="25">
        <f t="shared" si="14"/>
        <v>25159</v>
      </c>
    </row>
    <row r="269" spans="1:24" x14ac:dyDescent="0.25">
      <c r="A269">
        <v>282</v>
      </c>
      <c r="B269" t="s">
        <v>381</v>
      </c>
      <c r="C269" t="s">
        <v>1109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1804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27">
        <v>19910000000000</v>
      </c>
      <c r="R269">
        <v>77</v>
      </c>
      <c r="S269">
        <v>9.4</v>
      </c>
      <c r="T269">
        <v>59.2</v>
      </c>
      <c r="U269">
        <v>1397715000</v>
      </c>
      <c r="V269">
        <f t="shared" ca="1" si="12"/>
        <v>74.861054072553046</v>
      </c>
      <c r="W269" s="25">
        <f t="shared" ca="1" si="13"/>
        <v>46215</v>
      </c>
      <c r="X269" s="25">
        <f t="shared" si="14"/>
        <v>18872</v>
      </c>
    </row>
    <row r="270" spans="1:24" x14ac:dyDescent="0.25">
      <c r="A270">
        <v>282</v>
      </c>
      <c r="B270" t="s">
        <v>38</v>
      </c>
      <c r="C270" t="s">
        <v>1111</v>
      </c>
      <c r="D270" t="s">
        <v>32</v>
      </c>
      <c r="E270" t="s">
        <v>464</v>
      </c>
      <c r="F270" t="s">
        <v>387</v>
      </c>
      <c r="G270" t="s">
        <v>38</v>
      </c>
      <c r="H270" t="b">
        <v>1</v>
      </c>
      <c r="I270" t="s">
        <v>1804</v>
      </c>
      <c r="J270" t="s">
        <v>1112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27">
        <v>21427700000000</v>
      </c>
      <c r="R270">
        <v>78.5</v>
      </c>
      <c r="S270">
        <v>9.6</v>
      </c>
      <c r="T270">
        <v>36.6</v>
      </c>
      <c r="U270">
        <v>328239523</v>
      </c>
      <c r="V270">
        <f t="shared" ca="1" si="12"/>
        <v>71.80902374076436</v>
      </c>
      <c r="W270" s="25">
        <f t="shared" ca="1" si="13"/>
        <v>46215</v>
      </c>
      <c r="X270" s="25">
        <f t="shared" si="14"/>
        <v>19987</v>
      </c>
    </row>
    <row r="271" spans="1:24" x14ac:dyDescent="0.25">
      <c r="A271">
        <v>282</v>
      </c>
      <c r="B271" t="s">
        <v>351</v>
      </c>
      <c r="C271" t="s">
        <v>1114</v>
      </c>
      <c r="D271" t="s">
        <v>32</v>
      </c>
      <c r="E271" t="s">
        <v>634</v>
      </c>
      <c r="F271" t="s">
        <v>548</v>
      </c>
      <c r="G271" t="s">
        <v>351</v>
      </c>
      <c r="H271" t="b">
        <v>1</v>
      </c>
      <c r="I271" t="s">
        <v>1804</v>
      </c>
      <c r="J271" t="s">
        <v>1115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27">
        <v>21427700000000</v>
      </c>
      <c r="R271">
        <v>78.5</v>
      </c>
      <c r="S271">
        <v>9.6</v>
      </c>
      <c r="T271">
        <v>36.6</v>
      </c>
      <c r="U271">
        <v>328239523</v>
      </c>
      <c r="V271">
        <f t="shared" ca="1" si="12"/>
        <v>71.520876112251884</v>
      </c>
      <c r="W271" s="25">
        <f t="shared" ca="1" si="13"/>
        <v>46215</v>
      </c>
      <c r="X271" s="25">
        <f t="shared" si="14"/>
        <v>20092</v>
      </c>
    </row>
    <row r="272" spans="1:24" x14ac:dyDescent="0.25">
      <c r="A272">
        <v>282</v>
      </c>
      <c r="B272" t="s">
        <v>462</v>
      </c>
      <c r="C272" t="s">
        <v>1116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1804</v>
      </c>
      <c r="J272" t="s">
        <v>1119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27">
        <v>403336363636</v>
      </c>
      <c r="R272">
        <v>82.8</v>
      </c>
      <c r="S272">
        <v>23.9</v>
      </c>
      <c r="T272">
        <v>36.200000000000003</v>
      </c>
      <c r="U272">
        <v>5347896</v>
      </c>
      <c r="V272">
        <f t="shared" ca="1" si="12"/>
        <v>65.052683979092336</v>
      </c>
      <c r="W272" s="25">
        <f t="shared" ca="1" si="13"/>
        <v>46215</v>
      </c>
      <c r="X272" s="25">
        <f t="shared" si="14"/>
        <v>22455</v>
      </c>
    </row>
    <row r="273" spans="1:24" x14ac:dyDescent="0.25">
      <c r="A273">
        <v>290</v>
      </c>
      <c r="B273" t="s">
        <v>292</v>
      </c>
      <c r="C273" t="s">
        <v>1122</v>
      </c>
      <c r="D273" t="s">
        <v>105</v>
      </c>
      <c r="E273" t="s">
        <v>1123</v>
      </c>
      <c r="F273" t="s">
        <v>1124</v>
      </c>
      <c r="G273" t="s">
        <v>292</v>
      </c>
      <c r="H273" t="b">
        <v>1</v>
      </c>
      <c r="I273" t="s">
        <v>1804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27">
        <v>19910000000000</v>
      </c>
      <c r="R273">
        <v>77</v>
      </c>
      <c r="S273">
        <v>9.4</v>
      </c>
      <c r="T273">
        <v>59.2</v>
      </c>
      <c r="U273">
        <v>1397715000</v>
      </c>
      <c r="V273">
        <f t="shared" ca="1" si="12"/>
        <v>57.965104408352673</v>
      </c>
      <c r="W273" s="25">
        <f t="shared" ca="1" si="13"/>
        <v>46215</v>
      </c>
      <c r="X273" s="25">
        <f t="shared" si="14"/>
        <v>25043</v>
      </c>
    </row>
    <row r="274" spans="1:24" x14ac:dyDescent="0.25">
      <c r="A274">
        <v>290</v>
      </c>
      <c r="B274" t="s">
        <v>351</v>
      </c>
      <c r="C274" t="s">
        <v>1127</v>
      </c>
      <c r="D274" t="s">
        <v>74</v>
      </c>
      <c r="E274" t="s">
        <v>143</v>
      </c>
      <c r="F274" t="s">
        <v>517</v>
      </c>
      <c r="G274" t="s">
        <v>351</v>
      </c>
      <c r="H274" t="b">
        <v>1</v>
      </c>
      <c r="I274" t="s">
        <v>1804</v>
      </c>
      <c r="J274" t="s">
        <v>1128</v>
      </c>
      <c r="K274" t="s">
        <v>1129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27">
        <v>2611000000000</v>
      </c>
      <c r="R274">
        <v>69.400000000000006</v>
      </c>
      <c r="S274">
        <v>11.2</v>
      </c>
      <c r="T274">
        <v>49.7</v>
      </c>
      <c r="U274">
        <v>1366417754</v>
      </c>
      <c r="V274">
        <f t="shared" ca="1" si="12"/>
        <v>92.811755453936442</v>
      </c>
      <c r="W274" s="25">
        <f t="shared" ca="1" si="13"/>
        <v>46215</v>
      </c>
      <c r="X274" s="25">
        <f t="shared" si="14"/>
        <v>12316</v>
      </c>
    </row>
    <row r="275" spans="1:24" x14ac:dyDescent="0.25">
      <c r="A275">
        <v>290</v>
      </c>
      <c r="B275" t="s">
        <v>250</v>
      </c>
      <c r="C275" t="s">
        <v>1130</v>
      </c>
      <c r="D275" t="s">
        <v>226</v>
      </c>
      <c r="E275" t="s">
        <v>227</v>
      </c>
      <c r="F275" t="s">
        <v>348</v>
      </c>
      <c r="G275" t="s">
        <v>250</v>
      </c>
      <c r="H275" t="b">
        <v>1</v>
      </c>
      <c r="I275" t="s">
        <v>1804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27">
        <v>2827113184696</v>
      </c>
      <c r="R275">
        <v>81.3</v>
      </c>
      <c r="S275">
        <v>25.5</v>
      </c>
      <c r="T275">
        <v>30.6</v>
      </c>
      <c r="U275">
        <v>66834405</v>
      </c>
      <c r="V275">
        <f t="shared" ca="1" si="12"/>
        <v>70.603696098562622</v>
      </c>
      <c r="W275" s="25">
        <f t="shared" ca="1" si="13"/>
        <v>46215</v>
      </c>
      <c r="X275" s="25">
        <f t="shared" si="14"/>
        <v>20427</v>
      </c>
    </row>
    <row r="276" spans="1:24" x14ac:dyDescent="0.25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1804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27">
        <v>21427700000000</v>
      </c>
      <c r="R276">
        <v>78.5</v>
      </c>
      <c r="S276">
        <v>9.6</v>
      </c>
      <c r="T276">
        <v>36.6</v>
      </c>
      <c r="U276">
        <v>328239523</v>
      </c>
      <c r="V276">
        <f t="shared" ca="1" si="12"/>
        <v>44.891137432295693</v>
      </c>
      <c r="W276" s="25">
        <f t="shared" ca="1" si="13"/>
        <v>46215</v>
      </c>
      <c r="X276" s="25">
        <f t="shared" si="14"/>
        <v>29819</v>
      </c>
    </row>
    <row r="277" spans="1:24" x14ac:dyDescent="0.25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1804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27">
        <v>372062527489</v>
      </c>
      <c r="R277">
        <v>83.1</v>
      </c>
      <c r="S277">
        <v>13.1</v>
      </c>
      <c r="T277">
        <v>21</v>
      </c>
      <c r="U277">
        <v>5703569</v>
      </c>
      <c r="V277">
        <f t="shared" ca="1" si="12"/>
        <v>67.526351813826153</v>
      </c>
      <c r="W277" s="25">
        <f t="shared" ca="1" si="13"/>
        <v>46215</v>
      </c>
      <c r="X277" s="25">
        <f t="shared" si="14"/>
        <v>21551</v>
      </c>
    </row>
    <row r="278" spans="1:24" x14ac:dyDescent="0.25">
      <c r="A278">
        <v>290</v>
      </c>
      <c r="B278" t="s">
        <v>250</v>
      </c>
      <c r="C278" t="s">
        <v>1137</v>
      </c>
      <c r="D278" t="s">
        <v>226</v>
      </c>
      <c r="E278" t="s">
        <v>227</v>
      </c>
      <c r="F278" t="s">
        <v>348</v>
      </c>
      <c r="G278" t="s">
        <v>250</v>
      </c>
      <c r="H278" t="b">
        <v>1</v>
      </c>
      <c r="I278" t="s">
        <v>1804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27">
        <v>2827113184696</v>
      </c>
      <c r="R278">
        <v>81.3</v>
      </c>
      <c r="S278">
        <v>25.5</v>
      </c>
      <c r="T278">
        <v>30.6</v>
      </c>
      <c r="U278">
        <v>66834405</v>
      </c>
      <c r="V278">
        <f t="shared" ca="1" si="12"/>
        <v>69.348378769507576</v>
      </c>
      <c r="W278" s="25">
        <f t="shared" ca="1" si="13"/>
        <v>46215</v>
      </c>
      <c r="X278" s="25">
        <f t="shared" si="14"/>
        <v>20886</v>
      </c>
    </row>
    <row r="279" spans="1:24" x14ac:dyDescent="0.25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1804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27">
        <v>21427700000000</v>
      </c>
      <c r="R279">
        <v>78.5</v>
      </c>
      <c r="S279">
        <v>9.6</v>
      </c>
      <c r="T279">
        <v>36.6</v>
      </c>
      <c r="U279">
        <v>328239523</v>
      </c>
      <c r="V279">
        <f t="shared" ca="1" si="12"/>
        <v>88.290891192666194</v>
      </c>
      <c r="W279" s="25">
        <f t="shared" ca="1" si="13"/>
        <v>46215</v>
      </c>
      <c r="X279" s="25">
        <f t="shared" si="14"/>
        <v>13967</v>
      </c>
    </row>
    <row r="280" spans="1:24" x14ac:dyDescent="0.25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517</v>
      </c>
      <c r="G280" t="s">
        <v>351</v>
      </c>
      <c r="H280" t="b">
        <v>1</v>
      </c>
      <c r="I280" t="s">
        <v>1803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27">
        <v>19910000000000</v>
      </c>
      <c r="R280">
        <v>77</v>
      </c>
      <c r="S280">
        <v>9.4</v>
      </c>
      <c r="T280">
        <v>59.2</v>
      </c>
      <c r="U280">
        <v>1397715000</v>
      </c>
      <c r="V280">
        <f t="shared" ca="1" si="12"/>
        <v>65.526341989546168</v>
      </c>
      <c r="W280" s="25">
        <f t="shared" ca="1" si="13"/>
        <v>46215</v>
      </c>
      <c r="X280" s="25">
        <f t="shared" si="14"/>
        <v>22282</v>
      </c>
    </row>
    <row r="281" spans="1:24" x14ac:dyDescent="0.25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1043</v>
      </c>
      <c r="G281" t="s">
        <v>590</v>
      </c>
      <c r="H281" t="b">
        <v>1</v>
      </c>
      <c r="I281" t="s">
        <v>1804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27">
        <v>21427700000000</v>
      </c>
      <c r="R281">
        <v>78.5</v>
      </c>
      <c r="S281">
        <v>9.6</v>
      </c>
      <c r="T281">
        <v>36.6</v>
      </c>
      <c r="U281">
        <v>328239523</v>
      </c>
      <c r="V281">
        <f t="shared" ca="1" si="12"/>
        <v>83.789860207434131</v>
      </c>
      <c r="W281" s="25">
        <f t="shared" ca="1" si="13"/>
        <v>46215</v>
      </c>
      <c r="X281" s="25">
        <f t="shared" si="14"/>
        <v>15611</v>
      </c>
    </row>
    <row r="282" spans="1:24" x14ac:dyDescent="0.25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1148</v>
      </c>
      <c r="G282" t="s">
        <v>21</v>
      </c>
      <c r="H282" t="b">
        <v>0</v>
      </c>
      <c r="I282" t="s">
        <v>1804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27">
        <v>21427700000000</v>
      </c>
      <c r="R282">
        <v>78.5</v>
      </c>
      <c r="S282">
        <v>9.6</v>
      </c>
      <c r="T282">
        <v>36.6</v>
      </c>
      <c r="U282">
        <v>328239523</v>
      </c>
      <c r="V282">
        <f t="shared" ca="1" si="12"/>
        <v>88.435998400344545</v>
      </c>
      <c r="W282" s="25">
        <f t="shared" ca="1" si="13"/>
        <v>46215</v>
      </c>
      <c r="X282" s="25">
        <f t="shared" si="14"/>
        <v>13914</v>
      </c>
    </row>
    <row r="283" spans="1:24" x14ac:dyDescent="0.25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1804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27">
        <v>19910000000000</v>
      </c>
      <c r="R283">
        <v>77</v>
      </c>
      <c r="S283">
        <v>9.4</v>
      </c>
      <c r="T283">
        <v>59.2</v>
      </c>
      <c r="U283">
        <v>1397715000</v>
      </c>
      <c r="V283">
        <f t="shared" ca="1" si="12"/>
        <v>62.526356959714917</v>
      </c>
      <c r="W283" s="25">
        <f t="shared" ca="1" si="13"/>
        <v>46215</v>
      </c>
      <c r="X283" s="25">
        <f t="shared" si="14"/>
        <v>23377</v>
      </c>
    </row>
    <row r="284" spans="1:24" x14ac:dyDescent="0.25">
      <c r="A284">
        <v>299</v>
      </c>
      <c r="B284" t="s">
        <v>49</v>
      </c>
      <c r="C284" t="s">
        <v>1152</v>
      </c>
      <c r="D284" t="s">
        <v>32</v>
      </c>
      <c r="E284" t="s">
        <v>301</v>
      </c>
      <c r="F284" t="s">
        <v>204</v>
      </c>
      <c r="G284" t="s">
        <v>49</v>
      </c>
      <c r="H284" t="b">
        <v>1</v>
      </c>
      <c r="I284" t="s">
        <v>1804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27">
        <v>21427700000000</v>
      </c>
      <c r="R284">
        <v>78.5</v>
      </c>
      <c r="S284">
        <v>9.6</v>
      </c>
      <c r="T284">
        <v>36.6</v>
      </c>
      <c r="U284">
        <v>328239523</v>
      </c>
      <c r="V284">
        <f t="shared" ca="1" si="12"/>
        <v>71.787120729100252</v>
      </c>
      <c r="W284" s="25">
        <f t="shared" ca="1" si="13"/>
        <v>46215</v>
      </c>
      <c r="X284" s="25">
        <f t="shared" si="14"/>
        <v>19995</v>
      </c>
    </row>
    <row r="285" spans="1:24" x14ac:dyDescent="0.25">
      <c r="A285">
        <v>299</v>
      </c>
      <c r="B285" t="s">
        <v>49</v>
      </c>
      <c r="C285" t="s">
        <v>1154</v>
      </c>
      <c r="D285" t="s">
        <v>32</v>
      </c>
      <c r="E285" t="s">
        <v>61</v>
      </c>
      <c r="F285" t="s">
        <v>802</v>
      </c>
      <c r="G285" t="s">
        <v>49</v>
      </c>
      <c r="H285" t="b">
        <v>1</v>
      </c>
      <c r="I285" t="s">
        <v>1804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27">
        <v>21427700000000</v>
      </c>
      <c r="R285">
        <v>78.5</v>
      </c>
      <c r="S285">
        <v>9.6</v>
      </c>
      <c r="T285">
        <v>36.6</v>
      </c>
      <c r="U285">
        <v>328239523</v>
      </c>
      <c r="V285">
        <f t="shared" ca="1" si="12"/>
        <v>82.512666578704312</v>
      </c>
      <c r="W285" s="25">
        <f t="shared" ca="1" si="13"/>
        <v>46215</v>
      </c>
      <c r="X285" s="25">
        <f t="shared" si="14"/>
        <v>16077</v>
      </c>
    </row>
    <row r="286" spans="1:24" x14ac:dyDescent="0.25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1804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27">
        <v>372062527489</v>
      </c>
      <c r="R286">
        <v>83.1</v>
      </c>
      <c r="S286">
        <v>13.1</v>
      </c>
      <c r="T286">
        <v>21</v>
      </c>
      <c r="U286">
        <v>5703569</v>
      </c>
      <c r="V286">
        <f t="shared" ca="1" si="12"/>
        <v>56.030789182957875</v>
      </c>
      <c r="W286" s="25">
        <f t="shared" ca="1" si="13"/>
        <v>46215</v>
      </c>
      <c r="X286" s="25">
        <f t="shared" si="14"/>
        <v>25750</v>
      </c>
    </row>
    <row r="287" spans="1:24" x14ac:dyDescent="0.25">
      <c r="A287">
        <v>305</v>
      </c>
      <c r="B287" t="s">
        <v>38</v>
      </c>
      <c r="C287" t="s">
        <v>1159</v>
      </c>
      <c r="D287" t="s">
        <v>32</v>
      </c>
      <c r="E287" t="s">
        <v>1160</v>
      </c>
      <c r="F287" t="s">
        <v>731</v>
      </c>
      <c r="G287" t="s">
        <v>38</v>
      </c>
      <c r="H287" t="b">
        <v>1</v>
      </c>
      <c r="I287" t="s">
        <v>1804</v>
      </c>
      <c r="J287" t="s">
        <v>1161</v>
      </c>
      <c r="K287" t="s">
        <v>350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27">
        <v>21427700000000</v>
      </c>
      <c r="R287">
        <v>78.5</v>
      </c>
      <c r="S287">
        <v>9.6</v>
      </c>
      <c r="T287">
        <v>36.6</v>
      </c>
      <c r="U287">
        <v>328239523</v>
      </c>
      <c r="V287">
        <f t="shared" ca="1" si="12"/>
        <v>83.512662559890487</v>
      </c>
      <c r="W287" s="25">
        <f t="shared" ca="1" si="13"/>
        <v>46215</v>
      </c>
      <c r="X287" s="25">
        <f t="shared" si="14"/>
        <v>15712</v>
      </c>
    </row>
    <row r="288" spans="1:24" x14ac:dyDescent="0.25">
      <c r="A288">
        <v>305</v>
      </c>
      <c r="B288" t="s">
        <v>250</v>
      </c>
      <c r="C288" t="s">
        <v>1162</v>
      </c>
      <c r="D288" t="s">
        <v>226</v>
      </c>
      <c r="E288" t="s">
        <v>227</v>
      </c>
      <c r="F288" t="s">
        <v>1089</v>
      </c>
      <c r="G288" t="s">
        <v>250</v>
      </c>
      <c r="H288" t="b">
        <v>0</v>
      </c>
      <c r="I288" t="s">
        <v>1804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27">
        <v>2827113184696</v>
      </c>
      <c r="R288">
        <v>81.3</v>
      </c>
      <c r="S288">
        <v>25.5</v>
      </c>
      <c r="T288">
        <v>30.6</v>
      </c>
      <c r="U288">
        <v>66834405</v>
      </c>
      <c r="V288">
        <f t="shared" ca="1" si="12"/>
        <v>73.915820982696943</v>
      </c>
      <c r="W288" s="25">
        <f t="shared" ca="1" si="13"/>
        <v>46215</v>
      </c>
      <c r="X288" s="25">
        <f t="shared" si="14"/>
        <v>19217</v>
      </c>
    </row>
    <row r="289" spans="1:24" x14ac:dyDescent="0.25">
      <c r="A289">
        <v>305</v>
      </c>
      <c r="B289" t="s">
        <v>21</v>
      </c>
      <c r="C289" t="s">
        <v>1165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1804</v>
      </c>
      <c r="J289" t="s">
        <v>194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27">
        <v>19910000000000</v>
      </c>
      <c r="R289">
        <v>77</v>
      </c>
      <c r="S289">
        <v>9.4</v>
      </c>
      <c r="T289">
        <v>59.2</v>
      </c>
      <c r="U289">
        <v>1397715000</v>
      </c>
      <c r="V289">
        <f t="shared" ca="1" si="12"/>
        <v>62.526356959714917</v>
      </c>
      <c r="W289" s="25">
        <f t="shared" ca="1" si="13"/>
        <v>46215</v>
      </c>
      <c r="X289" s="25">
        <f t="shared" si="14"/>
        <v>23377</v>
      </c>
    </row>
    <row r="290" spans="1:24" x14ac:dyDescent="0.25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1804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27">
        <v>372062527489</v>
      </c>
      <c r="R290">
        <v>83.1</v>
      </c>
      <c r="S290">
        <v>13.1</v>
      </c>
      <c r="T290">
        <v>21</v>
      </c>
      <c r="U290">
        <v>5703569</v>
      </c>
      <c r="V290">
        <f t="shared" ca="1" si="12"/>
        <v>74.52635613638023</v>
      </c>
      <c r="W290" s="25">
        <f t="shared" ca="1" si="13"/>
        <v>46215</v>
      </c>
      <c r="X290" s="25">
        <f t="shared" si="14"/>
        <v>18994</v>
      </c>
    </row>
    <row r="291" spans="1:24" x14ac:dyDescent="0.25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1171</v>
      </c>
      <c r="G291" t="s">
        <v>250</v>
      </c>
      <c r="H291" t="b">
        <v>1</v>
      </c>
      <c r="I291" t="s">
        <v>1804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27">
        <v>21427700000000</v>
      </c>
      <c r="R291">
        <v>78.5</v>
      </c>
      <c r="S291">
        <v>9.6</v>
      </c>
      <c r="T291">
        <v>36.6</v>
      </c>
      <c r="U291">
        <v>328239523</v>
      </c>
      <c r="V291">
        <f t="shared" ca="1" si="12"/>
        <v>75.282683093771396</v>
      </c>
      <c r="W291" s="25">
        <f t="shared" ca="1" si="13"/>
        <v>46215</v>
      </c>
      <c r="X291" s="25">
        <f t="shared" si="14"/>
        <v>18718</v>
      </c>
    </row>
    <row r="292" spans="1:24" x14ac:dyDescent="0.25">
      <c r="A292">
        <v>305</v>
      </c>
      <c r="B292" t="s">
        <v>580</v>
      </c>
      <c r="C292" t="s">
        <v>1174</v>
      </c>
      <c r="D292" t="s">
        <v>1175</v>
      </c>
      <c r="E292" t="s">
        <v>1176</v>
      </c>
      <c r="F292" t="s">
        <v>1177</v>
      </c>
      <c r="G292" t="s">
        <v>580</v>
      </c>
      <c r="H292" t="b">
        <v>0</v>
      </c>
      <c r="I292" t="s">
        <v>1804</v>
      </c>
      <c r="J292" t="s">
        <v>1178</v>
      </c>
      <c r="K292" t="s">
        <v>1179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27">
        <v>303175127598</v>
      </c>
      <c r="R292">
        <v>71.8</v>
      </c>
      <c r="S292">
        <v>12.5</v>
      </c>
      <c r="T292">
        <v>44.4</v>
      </c>
      <c r="U292">
        <v>100388073</v>
      </c>
      <c r="V292">
        <f t="shared" ca="1" si="12"/>
        <v>65.477059653198367</v>
      </c>
      <c r="W292" s="25">
        <f t="shared" ca="1" si="13"/>
        <v>46215</v>
      </c>
      <c r="X292" s="25">
        <f t="shared" si="14"/>
        <v>22300</v>
      </c>
    </row>
    <row r="293" spans="1:24" x14ac:dyDescent="0.25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1804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27">
        <v>21427700000000</v>
      </c>
      <c r="R293">
        <v>78.5</v>
      </c>
      <c r="S293">
        <v>9.6</v>
      </c>
      <c r="T293">
        <v>36.6</v>
      </c>
      <c r="U293">
        <v>328239523</v>
      </c>
      <c r="V293">
        <f t="shared" ca="1" si="12"/>
        <v>84.614625449683231</v>
      </c>
      <c r="W293" s="25">
        <f t="shared" ca="1" si="13"/>
        <v>46215</v>
      </c>
      <c r="X293" s="25">
        <f t="shared" si="14"/>
        <v>15310</v>
      </c>
    </row>
    <row r="294" spans="1:24" x14ac:dyDescent="0.25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1187</v>
      </c>
      <c r="G294" t="s">
        <v>250</v>
      </c>
      <c r="H294" t="b">
        <v>0</v>
      </c>
      <c r="I294" t="s">
        <v>1804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27">
        <v>2611000000000</v>
      </c>
      <c r="R294">
        <v>69.400000000000006</v>
      </c>
      <c r="S294">
        <v>11.2</v>
      </c>
      <c r="T294">
        <v>49.7</v>
      </c>
      <c r="U294">
        <v>1366417754</v>
      </c>
      <c r="V294">
        <f t="shared" ca="1" si="12"/>
        <v>95.112936344969199</v>
      </c>
      <c r="W294" s="25">
        <f t="shared" ca="1" si="13"/>
        <v>46215</v>
      </c>
      <c r="X294" s="25">
        <f t="shared" si="14"/>
        <v>11475</v>
      </c>
    </row>
    <row r="295" spans="1:24" x14ac:dyDescent="0.25">
      <c r="A295">
        <v>312</v>
      </c>
      <c r="B295" t="s">
        <v>272</v>
      </c>
      <c r="C295" t="s">
        <v>1190</v>
      </c>
      <c r="D295" t="s">
        <v>327</v>
      </c>
      <c r="E295" t="s">
        <v>328</v>
      </c>
      <c r="F295" t="s">
        <v>1191</v>
      </c>
      <c r="G295" t="s">
        <v>272</v>
      </c>
      <c r="H295" t="b">
        <v>1</v>
      </c>
      <c r="I295" t="s">
        <v>1804</v>
      </c>
      <c r="J295" t="s">
        <v>1192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27">
        <v>1699876578871</v>
      </c>
      <c r="R295">
        <v>72.7</v>
      </c>
      <c r="S295">
        <v>11.4</v>
      </c>
      <c r="T295">
        <v>46.2</v>
      </c>
      <c r="U295">
        <v>144373535</v>
      </c>
      <c r="V295">
        <f t="shared" ca="1" si="12"/>
        <v>62.600958247775495</v>
      </c>
      <c r="W295" s="25">
        <f t="shared" ca="1" si="13"/>
        <v>46215</v>
      </c>
      <c r="X295" s="25">
        <f t="shared" si="14"/>
        <v>23350</v>
      </c>
    </row>
    <row r="296" spans="1:24" x14ac:dyDescent="0.25">
      <c r="A296">
        <v>312</v>
      </c>
      <c r="B296" t="s">
        <v>21</v>
      </c>
      <c r="C296" t="s">
        <v>1194</v>
      </c>
      <c r="D296" t="s">
        <v>1195</v>
      </c>
      <c r="E296" t="s">
        <v>1196</v>
      </c>
      <c r="F296" t="s">
        <v>221</v>
      </c>
      <c r="G296" t="s">
        <v>21</v>
      </c>
      <c r="H296" t="b">
        <v>0</v>
      </c>
      <c r="I296" t="s">
        <v>1804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27">
        <v>348078018464</v>
      </c>
      <c r="R296">
        <v>81</v>
      </c>
      <c r="S296">
        <v>32.4</v>
      </c>
      <c r="T296">
        <v>23.8</v>
      </c>
      <c r="U296">
        <v>5818553</v>
      </c>
      <c r="V296">
        <f t="shared" ca="1" si="12"/>
        <v>53.683110159788939</v>
      </c>
      <c r="W296" s="25">
        <f t="shared" ca="1" si="13"/>
        <v>46215</v>
      </c>
      <c r="X296" s="25">
        <f t="shared" si="14"/>
        <v>26607</v>
      </c>
    </row>
    <row r="297" spans="1:24" x14ac:dyDescent="0.25">
      <c r="A297">
        <v>312</v>
      </c>
      <c r="B297" t="s">
        <v>168</v>
      </c>
      <c r="C297" t="s">
        <v>1200</v>
      </c>
      <c r="D297" t="s">
        <v>967</v>
      </c>
      <c r="E297" t="s">
        <v>968</v>
      </c>
      <c r="F297" t="s">
        <v>1201</v>
      </c>
      <c r="G297" t="s">
        <v>168</v>
      </c>
      <c r="H297" t="b">
        <v>0</v>
      </c>
      <c r="I297" t="s">
        <v>1804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27">
        <v>376795508680</v>
      </c>
      <c r="R297">
        <v>71.099999999999994</v>
      </c>
      <c r="S297">
        <v>14</v>
      </c>
      <c r="T297">
        <v>43.1</v>
      </c>
      <c r="U297">
        <v>108116615</v>
      </c>
      <c r="V297">
        <f t="shared" ca="1" si="12"/>
        <v>66.356611637790138</v>
      </c>
      <c r="W297" s="25">
        <f t="shared" ca="1" si="13"/>
        <v>46215</v>
      </c>
      <c r="X297" s="25">
        <f t="shared" si="14"/>
        <v>21978</v>
      </c>
    </row>
    <row r="298" spans="1:24" x14ac:dyDescent="0.25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1205</v>
      </c>
      <c r="G298" t="s">
        <v>38</v>
      </c>
      <c r="H298" t="b">
        <v>1</v>
      </c>
      <c r="I298" t="s">
        <v>1803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27">
        <v>19910000000000</v>
      </c>
      <c r="R298">
        <v>77</v>
      </c>
      <c r="S298">
        <v>9.4</v>
      </c>
      <c r="T298">
        <v>59.2</v>
      </c>
      <c r="U298">
        <v>1397715000</v>
      </c>
      <c r="V298">
        <f t="shared" ca="1" si="12"/>
        <v>59.107460643394937</v>
      </c>
      <c r="W298" s="25">
        <f t="shared" ca="1" si="13"/>
        <v>46215</v>
      </c>
      <c r="X298" s="25">
        <f t="shared" si="14"/>
        <v>24626</v>
      </c>
    </row>
    <row r="299" spans="1:24" x14ac:dyDescent="0.25">
      <c r="A299">
        <v>317</v>
      </c>
      <c r="B299" t="s">
        <v>49</v>
      </c>
      <c r="C299" t="s">
        <v>1207</v>
      </c>
      <c r="D299" t="s">
        <v>32</v>
      </c>
      <c r="E299" t="s">
        <v>1208</v>
      </c>
      <c r="F299" t="s">
        <v>258</v>
      </c>
      <c r="G299" t="s">
        <v>49</v>
      </c>
      <c r="H299" t="b">
        <v>1</v>
      </c>
      <c r="I299" t="s">
        <v>1804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27">
        <v>21427700000000</v>
      </c>
      <c r="R299">
        <v>78.5</v>
      </c>
      <c r="S299">
        <v>9.6</v>
      </c>
      <c r="T299">
        <v>36.6</v>
      </c>
      <c r="U299">
        <v>328239523</v>
      </c>
      <c r="V299">
        <f t="shared" ca="1" si="12"/>
        <v>68.628309930770129</v>
      </c>
      <c r="W299" s="25">
        <f t="shared" ca="1" si="13"/>
        <v>46215</v>
      </c>
      <c r="X299" s="25">
        <f t="shared" si="14"/>
        <v>21149</v>
      </c>
    </row>
    <row r="300" spans="1:24" x14ac:dyDescent="0.25">
      <c r="A300">
        <v>317</v>
      </c>
      <c r="B300" t="s">
        <v>462</v>
      </c>
      <c r="C300" t="s">
        <v>1210</v>
      </c>
      <c r="D300" t="s">
        <v>32</v>
      </c>
      <c r="E300" t="s">
        <v>301</v>
      </c>
      <c r="F300" t="s">
        <v>1211</v>
      </c>
      <c r="G300" t="s">
        <v>462</v>
      </c>
      <c r="H300" t="b">
        <v>1</v>
      </c>
      <c r="I300" t="s">
        <v>1804</v>
      </c>
      <c r="J300" t="s">
        <v>1212</v>
      </c>
      <c r="K300" t="s">
        <v>43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27">
        <v>21427700000000</v>
      </c>
      <c r="R300">
        <v>78.5</v>
      </c>
      <c r="S300">
        <v>9.6</v>
      </c>
      <c r="T300">
        <v>36.6</v>
      </c>
      <c r="U300">
        <v>328239523</v>
      </c>
      <c r="V300">
        <f t="shared" ca="1" si="12"/>
        <v>71.58725574766531</v>
      </c>
      <c r="W300" s="25">
        <f t="shared" ca="1" si="13"/>
        <v>46215</v>
      </c>
      <c r="X300" s="25">
        <f t="shared" si="14"/>
        <v>20068</v>
      </c>
    </row>
    <row r="301" spans="1:24" x14ac:dyDescent="0.25">
      <c r="A301">
        <v>317</v>
      </c>
      <c r="B301" t="s">
        <v>49</v>
      </c>
      <c r="C301" t="s">
        <v>1213</v>
      </c>
      <c r="D301" t="s">
        <v>32</v>
      </c>
      <c r="E301" t="s">
        <v>1214</v>
      </c>
      <c r="F301" t="s">
        <v>1215</v>
      </c>
      <c r="G301" t="s">
        <v>49</v>
      </c>
      <c r="H301" t="b">
        <v>1</v>
      </c>
      <c r="I301" t="s">
        <v>1804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27">
        <v>21427700000000</v>
      </c>
      <c r="R301">
        <v>78.5</v>
      </c>
      <c r="S301">
        <v>9.6</v>
      </c>
      <c r="T301">
        <v>36.6</v>
      </c>
      <c r="U301">
        <v>328239523</v>
      </c>
      <c r="V301">
        <f t="shared" ca="1" si="12"/>
        <v>83.080082135523611</v>
      </c>
      <c r="W301" s="25">
        <f t="shared" ca="1" si="13"/>
        <v>46215</v>
      </c>
      <c r="X301" s="25">
        <f t="shared" si="14"/>
        <v>15870</v>
      </c>
    </row>
    <row r="302" spans="1:24" x14ac:dyDescent="0.25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1804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27">
        <v>21427700000000</v>
      </c>
      <c r="R302">
        <v>78.5</v>
      </c>
      <c r="S302">
        <v>9.6</v>
      </c>
      <c r="T302">
        <v>36.6</v>
      </c>
      <c r="U302">
        <v>328239523</v>
      </c>
      <c r="V302">
        <f t="shared" ca="1" si="12"/>
        <v>81.726909882570254</v>
      </c>
      <c r="W302" s="25">
        <f t="shared" ca="1" si="13"/>
        <v>46215</v>
      </c>
      <c r="X302" s="25">
        <f t="shared" si="14"/>
        <v>16364</v>
      </c>
    </row>
    <row r="303" spans="1:24" x14ac:dyDescent="0.25">
      <c r="A303">
        <v>317</v>
      </c>
      <c r="B303" t="s">
        <v>49</v>
      </c>
      <c r="C303" t="s">
        <v>1221</v>
      </c>
      <c r="D303" t="s">
        <v>306</v>
      </c>
      <c r="E303" t="s">
        <v>645</v>
      </c>
      <c r="F303" t="s">
        <v>1222</v>
      </c>
      <c r="G303" t="s">
        <v>49</v>
      </c>
      <c r="H303" t="b">
        <v>1</v>
      </c>
      <c r="I303" t="s">
        <v>1804</v>
      </c>
      <c r="J303" t="s">
        <v>1223</v>
      </c>
      <c r="K303" t="s">
        <v>1224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27">
        <v>421142267938</v>
      </c>
      <c r="R303">
        <v>77.8</v>
      </c>
      <c r="S303">
        <v>0.1</v>
      </c>
      <c r="T303">
        <v>15.9</v>
      </c>
      <c r="U303">
        <v>9770529</v>
      </c>
      <c r="V303">
        <f t="shared" ca="1" si="12"/>
        <v>44.907565025891316</v>
      </c>
      <c r="W303" s="25">
        <f t="shared" ca="1" si="13"/>
        <v>46215</v>
      </c>
      <c r="X303" s="25">
        <f t="shared" si="14"/>
        <v>29813</v>
      </c>
    </row>
    <row r="304" spans="1:24" x14ac:dyDescent="0.25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1804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27">
        <v>5081769542380</v>
      </c>
      <c r="R304">
        <v>84.2</v>
      </c>
      <c r="S304">
        <v>11.9</v>
      </c>
      <c r="T304">
        <v>46.7</v>
      </c>
      <c r="U304">
        <v>126226568</v>
      </c>
      <c r="V304">
        <f t="shared" ca="1" si="12"/>
        <v>65.000663735169667</v>
      </c>
      <c r="W304" s="25">
        <f t="shared" ca="1" si="13"/>
        <v>46215</v>
      </c>
      <c r="X304" s="25">
        <f t="shared" si="14"/>
        <v>22474</v>
      </c>
    </row>
    <row r="305" spans="1:24" x14ac:dyDescent="0.25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1804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27">
        <v>19910000000000</v>
      </c>
      <c r="R305">
        <v>77</v>
      </c>
      <c r="S305">
        <v>9.4</v>
      </c>
      <c r="T305">
        <v>59.2</v>
      </c>
      <c r="U305">
        <v>1397715000</v>
      </c>
      <c r="V305">
        <f t="shared" ca="1" si="12"/>
        <v>80.778898163606016</v>
      </c>
      <c r="W305" s="25">
        <f t="shared" ca="1" si="13"/>
        <v>46215</v>
      </c>
      <c r="X305" s="25">
        <f t="shared" si="14"/>
        <v>16711</v>
      </c>
    </row>
    <row r="306" spans="1:24" x14ac:dyDescent="0.25">
      <c r="A306">
        <v>325</v>
      </c>
      <c r="B306" t="s">
        <v>38</v>
      </c>
      <c r="C306" t="s">
        <v>1233</v>
      </c>
      <c r="D306" t="s">
        <v>32</v>
      </c>
      <c r="E306" t="s">
        <v>1234</v>
      </c>
      <c r="F306" t="s">
        <v>1235</v>
      </c>
      <c r="G306" t="s">
        <v>38</v>
      </c>
      <c r="H306" t="b">
        <v>1</v>
      </c>
      <c r="I306" t="s">
        <v>1803</v>
      </c>
      <c r="J306" t="s">
        <v>1236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27">
        <v>21427700000000</v>
      </c>
      <c r="R306">
        <v>78.5</v>
      </c>
      <c r="S306">
        <v>9.6</v>
      </c>
      <c r="T306">
        <v>36.6</v>
      </c>
      <c r="U306">
        <v>328239523</v>
      </c>
      <c r="V306">
        <f t="shared" ca="1" si="12"/>
        <v>82.945927446954144</v>
      </c>
      <c r="W306" s="25">
        <f t="shared" ca="1" si="13"/>
        <v>46215</v>
      </c>
      <c r="X306" s="25">
        <f t="shared" si="14"/>
        <v>15919</v>
      </c>
    </row>
    <row r="307" spans="1:24" x14ac:dyDescent="0.25">
      <c r="A307">
        <v>325</v>
      </c>
      <c r="B307" t="s">
        <v>196</v>
      </c>
      <c r="C307" t="s">
        <v>1237</v>
      </c>
      <c r="D307" t="s">
        <v>208</v>
      </c>
      <c r="E307" t="s">
        <v>1081</v>
      </c>
      <c r="F307" t="s">
        <v>1238</v>
      </c>
      <c r="G307" t="s">
        <v>196</v>
      </c>
      <c r="H307" t="b">
        <v>1</v>
      </c>
      <c r="I307" t="s">
        <v>1804</v>
      </c>
      <c r="J307" t="s">
        <v>1239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27">
        <v>446314739528</v>
      </c>
      <c r="R307">
        <v>81.599999999999994</v>
      </c>
      <c r="S307">
        <v>25.4</v>
      </c>
      <c r="T307">
        <v>51.4</v>
      </c>
      <c r="U307">
        <v>8877067</v>
      </c>
      <c r="V307">
        <f t="shared" ca="1" si="12"/>
        <v>79.520876112251884</v>
      </c>
      <c r="W307" s="25">
        <f t="shared" ca="1" si="13"/>
        <v>46215</v>
      </c>
      <c r="X307" s="25">
        <f t="shared" si="14"/>
        <v>17170</v>
      </c>
    </row>
    <row r="308" spans="1:24" x14ac:dyDescent="0.25">
      <c r="A308">
        <v>325</v>
      </c>
      <c r="B308" t="s">
        <v>381</v>
      </c>
      <c r="C308" t="s">
        <v>1240</v>
      </c>
      <c r="D308" t="s">
        <v>32</v>
      </c>
      <c r="E308" t="s">
        <v>1241</v>
      </c>
      <c r="F308" t="s">
        <v>1242</v>
      </c>
      <c r="G308" t="s">
        <v>381</v>
      </c>
      <c r="H308" t="b">
        <v>0</v>
      </c>
      <c r="I308" t="s">
        <v>1803</v>
      </c>
      <c r="J308" t="s">
        <v>1243</v>
      </c>
      <c r="K308" t="s">
        <v>1244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27">
        <v>21427700000000</v>
      </c>
      <c r="R308">
        <v>78.5</v>
      </c>
      <c r="S308">
        <v>9.6</v>
      </c>
      <c r="T308">
        <v>36.6</v>
      </c>
      <c r="U308">
        <v>328239523</v>
      </c>
      <c r="V308">
        <f t="shared" ca="1" si="12"/>
        <v>64.652949473160206</v>
      </c>
      <c r="W308" s="25">
        <f t="shared" ca="1" si="13"/>
        <v>46215</v>
      </c>
      <c r="X308" s="25">
        <f t="shared" si="14"/>
        <v>22601</v>
      </c>
    </row>
    <row r="309" spans="1:24" x14ac:dyDescent="0.25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1246</v>
      </c>
      <c r="G309" t="s">
        <v>250</v>
      </c>
      <c r="H309" t="b">
        <v>1</v>
      </c>
      <c r="I309" t="s">
        <v>1804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27">
        <v>19910000000000</v>
      </c>
      <c r="R309">
        <v>77</v>
      </c>
      <c r="S309">
        <v>9.4</v>
      </c>
      <c r="T309">
        <v>59.2</v>
      </c>
      <c r="U309">
        <v>1397715000</v>
      </c>
      <c r="V309">
        <f t="shared" ca="1" si="12"/>
        <v>69.57359349091891</v>
      </c>
      <c r="W309" s="25">
        <f t="shared" ca="1" si="13"/>
        <v>46215</v>
      </c>
      <c r="X309" s="25">
        <f t="shared" si="14"/>
        <v>20803</v>
      </c>
    </row>
    <row r="310" spans="1:24" x14ac:dyDescent="0.25">
      <c r="A310">
        <v>325</v>
      </c>
      <c r="B310" t="s">
        <v>351</v>
      </c>
      <c r="C310" t="s">
        <v>1249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1804</v>
      </c>
      <c r="J310" t="s">
        <v>1252</v>
      </c>
      <c r="K310" t="s">
        <v>1253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27">
        <v>703082435360</v>
      </c>
      <c r="R310">
        <v>83.6</v>
      </c>
      <c r="S310">
        <v>10.1</v>
      </c>
      <c r="T310">
        <v>28.8</v>
      </c>
      <c r="U310">
        <v>8574832</v>
      </c>
      <c r="V310">
        <f t="shared" ca="1" si="12"/>
        <v>75.699509315886786</v>
      </c>
      <c r="W310" s="25">
        <f t="shared" ca="1" si="13"/>
        <v>46215</v>
      </c>
      <c r="X310" s="25">
        <f t="shared" si="14"/>
        <v>18566</v>
      </c>
    </row>
    <row r="311" spans="1:24" x14ac:dyDescent="0.25">
      <c r="A311">
        <v>325</v>
      </c>
      <c r="B311" t="s">
        <v>49</v>
      </c>
      <c r="C311" t="s">
        <v>1254</v>
      </c>
      <c r="D311" t="s">
        <v>555</v>
      </c>
      <c r="E311" t="s">
        <v>555</v>
      </c>
      <c r="F311" t="s">
        <v>478</v>
      </c>
      <c r="G311" t="s">
        <v>49</v>
      </c>
      <c r="H311" t="b">
        <v>0</v>
      </c>
      <c r="I311" t="s">
        <v>1804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27">
        <v>372062527489</v>
      </c>
      <c r="R311">
        <v>83.1</v>
      </c>
      <c r="S311">
        <v>13.1</v>
      </c>
      <c r="T311">
        <v>21</v>
      </c>
      <c r="U311">
        <v>5703569</v>
      </c>
      <c r="V311">
        <f t="shared" ca="1" si="12"/>
        <v>97.501704196234002</v>
      </c>
      <c r="W311" s="25">
        <f t="shared" ca="1" si="13"/>
        <v>46215</v>
      </c>
      <c r="X311" s="25">
        <f t="shared" si="14"/>
        <v>10603</v>
      </c>
    </row>
    <row r="312" spans="1:24" x14ac:dyDescent="0.25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1804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27">
        <v>19910000000000</v>
      </c>
      <c r="R312">
        <v>77</v>
      </c>
      <c r="S312">
        <v>9.4</v>
      </c>
      <c r="T312">
        <v>59.2</v>
      </c>
      <c r="U312">
        <v>1397715000</v>
      </c>
      <c r="V312">
        <f t="shared" ca="1" si="12"/>
        <v>74.52635613638023</v>
      </c>
      <c r="W312" s="25">
        <f t="shared" ca="1" si="13"/>
        <v>46215</v>
      </c>
      <c r="X312" s="25">
        <f t="shared" si="14"/>
        <v>18994</v>
      </c>
    </row>
    <row r="313" spans="1:24" x14ac:dyDescent="0.25">
      <c r="A313">
        <v>332</v>
      </c>
      <c r="B313" t="s">
        <v>38</v>
      </c>
      <c r="C313" t="s">
        <v>1260</v>
      </c>
      <c r="D313" t="s">
        <v>32</v>
      </c>
      <c r="E313" t="s">
        <v>856</v>
      </c>
      <c r="F313" t="s">
        <v>739</v>
      </c>
      <c r="G313" t="s">
        <v>38</v>
      </c>
      <c r="H313" t="b">
        <v>1</v>
      </c>
      <c r="I313" t="s">
        <v>1804</v>
      </c>
      <c r="J313" t="s">
        <v>1261</v>
      </c>
      <c r="K313" t="s">
        <v>1262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27">
        <v>21427700000000</v>
      </c>
      <c r="R313">
        <v>78.5</v>
      </c>
      <c r="S313">
        <v>9.6</v>
      </c>
      <c r="T313">
        <v>36.6</v>
      </c>
      <c r="U313">
        <v>328239523</v>
      </c>
      <c r="V313">
        <f t="shared" ca="1" si="12"/>
        <v>61.792620920429357</v>
      </c>
      <c r="W313" s="25">
        <f t="shared" ca="1" si="13"/>
        <v>46215</v>
      </c>
      <c r="X313" s="25">
        <f t="shared" si="14"/>
        <v>23645</v>
      </c>
    </row>
    <row r="314" spans="1:24" x14ac:dyDescent="0.25">
      <c r="A314">
        <v>332</v>
      </c>
      <c r="B314" t="s">
        <v>59</v>
      </c>
      <c r="C314" t="s">
        <v>1263</v>
      </c>
      <c r="D314" t="s">
        <v>226</v>
      </c>
      <c r="E314" t="s">
        <v>227</v>
      </c>
      <c r="F314" t="s">
        <v>281</v>
      </c>
      <c r="G314" t="s">
        <v>59</v>
      </c>
      <c r="H314" t="b">
        <v>1</v>
      </c>
      <c r="I314" t="s">
        <v>1804</v>
      </c>
      <c r="J314" t="s">
        <v>1264</v>
      </c>
      <c r="K314" t="s">
        <v>1265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27">
        <v>2827113184696</v>
      </c>
      <c r="R314">
        <v>81.3</v>
      </c>
      <c r="S314">
        <v>25.5</v>
      </c>
      <c r="T314">
        <v>30.6</v>
      </c>
      <c r="U314">
        <v>66834405</v>
      </c>
      <c r="V314">
        <f t="shared" ca="1" si="12"/>
        <v>41.126597131681876</v>
      </c>
      <c r="W314" s="25">
        <f t="shared" ca="1" si="13"/>
        <v>46215</v>
      </c>
      <c r="X314" s="25">
        <f t="shared" si="14"/>
        <v>31194</v>
      </c>
    </row>
    <row r="315" spans="1:24" x14ac:dyDescent="0.25">
      <c r="A315">
        <v>332</v>
      </c>
      <c r="B315" t="s">
        <v>59</v>
      </c>
      <c r="C315" t="s">
        <v>1266</v>
      </c>
      <c r="D315" t="s">
        <v>226</v>
      </c>
      <c r="E315" t="s">
        <v>227</v>
      </c>
      <c r="F315" t="s">
        <v>281</v>
      </c>
      <c r="G315" t="s">
        <v>59</v>
      </c>
      <c r="H315" t="b">
        <v>1</v>
      </c>
      <c r="I315" t="s">
        <v>1804</v>
      </c>
      <c r="J315" t="s">
        <v>1264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27">
        <v>2827113184696</v>
      </c>
      <c r="R315">
        <v>81.3</v>
      </c>
      <c r="S315">
        <v>25.5</v>
      </c>
      <c r="T315">
        <v>30.6</v>
      </c>
      <c r="U315">
        <v>66834405</v>
      </c>
      <c r="V315">
        <f t="shared" ca="1" si="12"/>
        <v>44.288147967875389</v>
      </c>
      <c r="W315" s="25">
        <f t="shared" ca="1" si="13"/>
        <v>46215</v>
      </c>
      <c r="X315" s="25">
        <f t="shared" si="14"/>
        <v>30039</v>
      </c>
    </row>
    <row r="316" spans="1:24" x14ac:dyDescent="0.25">
      <c r="A316">
        <v>332</v>
      </c>
      <c r="B316" t="s">
        <v>38</v>
      </c>
      <c r="C316" t="s">
        <v>1268</v>
      </c>
      <c r="D316" t="s">
        <v>32</v>
      </c>
      <c r="E316" t="s">
        <v>1269</v>
      </c>
      <c r="F316" t="s">
        <v>1270</v>
      </c>
      <c r="G316" t="s">
        <v>38</v>
      </c>
      <c r="H316" t="b">
        <v>1</v>
      </c>
      <c r="I316" t="s">
        <v>1804</v>
      </c>
      <c r="J316" t="s">
        <v>1271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27">
        <v>21427700000000</v>
      </c>
      <c r="R316">
        <v>78.5</v>
      </c>
      <c r="S316">
        <v>9.6</v>
      </c>
      <c r="T316">
        <v>36.6</v>
      </c>
      <c r="U316">
        <v>328239523</v>
      </c>
      <c r="V316">
        <f t="shared" ca="1" si="12"/>
        <v>80.970550918196992</v>
      </c>
      <c r="W316" s="25">
        <f t="shared" ca="1" si="13"/>
        <v>46215</v>
      </c>
      <c r="X316" s="25">
        <f t="shared" si="14"/>
        <v>16641</v>
      </c>
    </row>
    <row r="317" spans="1:24" x14ac:dyDescent="0.25">
      <c r="A317">
        <v>332</v>
      </c>
      <c r="B317" t="s">
        <v>250</v>
      </c>
      <c r="C317" t="s">
        <v>1272</v>
      </c>
      <c r="D317" t="s">
        <v>74</v>
      </c>
      <c r="E317" t="s">
        <v>75</v>
      </c>
      <c r="F317" t="s">
        <v>556</v>
      </c>
      <c r="G317" t="s">
        <v>250</v>
      </c>
      <c r="H317" t="b">
        <v>0</v>
      </c>
      <c r="I317" t="s">
        <v>1804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27">
        <v>2611000000000</v>
      </c>
      <c r="R317">
        <v>69.400000000000006</v>
      </c>
      <c r="S317">
        <v>11.2</v>
      </c>
      <c r="T317">
        <v>49.7</v>
      </c>
      <c r="U317">
        <v>1366417754</v>
      </c>
      <c r="V317">
        <f t="shared" ca="1" si="12"/>
        <v>83.715937640919918</v>
      </c>
      <c r="W317" s="25">
        <f t="shared" ca="1" si="13"/>
        <v>46215</v>
      </c>
      <c r="X317" s="25">
        <f t="shared" si="14"/>
        <v>15638</v>
      </c>
    </row>
    <row r="318" spans="1:24" x14ac:dyDescent="0.25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1804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27">
        <v>21427700000000</v>
      </c>
      <c r="R318">
        <v>78.5</v>
      </c>
      <c r="S318">
        <v>9.6</v>
      </c>
      <c r="T318">
        <v>36.6</v>
      </c>
      <c r="U318">
        <v>328239523</v>
      </c>
      <c r="V318">
        <f t="shared" ca="1" si="12"/>
        <v>86.743326488706359</v>
      </c>
      <c r="W318" s="25">
        <f t="shared" ca="1" si="13"/>
        <v>46215</v>
      </c>
      <c r="X318" s="25">
        <f t="shared" si="14"/>
        <v>14532</v>
      </c>
    </row>
    <row r="319" spans="1:24" x14ac:dyDescent="0.25">
      <c r="A319">
        <v>332</v>
      </c>
      <c r="B319" t="s">
        <v>72</v>
      </c>
      <c r="C319" t="s">
        <v>1279</v>
      </c>
      <c r="D319" t="s">
        <v>74</v>
      </c>
      <c r="E319" t="s">
        <v>75</v>
      </c>
      <c r="F319" t="s">
        <v>72</v>
      </c>
      <c r="G319" t="s">
        <v>72</v>
      </c>
      <c r="H319" t="b">
        <v>0</v>
      </c>
      <c r="I319" t="s">
        <v>1803</v>
      </c>
      <c r="J319" t="s">
        <v>1280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27">
        <v>2611000000000</v>
      </c>
      <c r="R319">
        <v>69.400000000000006</v>
      </c>
      <c r="S319">
        <v>11.2</v>
      </c>
      <c r="T319">
        <v>49.7</v>
      </c>
      <c r="U319">
        <v>1366417754</v>
      </c>
      <c r="V319">
        <f t="shared" ca="1" si="12"/>
        <v>59.09924709103354</v>
      </c>
      <c r="W319" s="25">
        <f t="shared" ca="1" si="13"/>
        <v>46215</v>
      </c>
      <c r="X319" s="25">
        <f t="shared" si="14"/>
        <v>24629</v>
      </c>
    </row>
    <row r="320" spans="1:24" x14ac:dyDescent="0.25">
      <c r="A320">
        <v>332</v>
      </c>
      <c r="B320" t="s">
        <v>72</v>
      </c>
      <c r="C320" t="s">
        <v>1282</v>
      </c>
      <c r="D320" t="s">
        <v>74</v>
      </c>
      <c r="E320" t="s">
        <v>75</v>
      </c>
      <c r="F320" t="s">
        <v>72</v>
      </c>
      <c r="G320" t="s">
        <v>72</v>
      </c>
      <c r="H320" t="b">
        <v>0</v>
      </c>
      <c r="I320" t="s">
        <v>1804</v>
      </c>
      <c r="J320" t="s">
        <v>1280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27">
        <v>2611000000000</v>
      </c>
      <c r="R320">
        <v>69.400000000000006</v>
      </c>
      <c r="S320">
        <v>11.2</v>
      </c>
      <c r="T320">
        <v>49.7</v>
      </c>
      <c r="U320">
        <v>1366417754</v>
      </c>
      <c r="V320">
        <f t="shared" ca="1" si="12"/>
        <v>61.844639520229457</v>
      </c>
      <c r="W320" s="25">
        <f t="shared" ca="1" si="13"/>
        <v>46215</v>
      </c>
      <c r="X320" s="25">
        <f t="shared" si="14"/>
        <v>23626</v>
      </c>
    </row>
    <row r="321" spans="1:24" x14ac:dyDescent="0.25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1286</v>
      </c>
      <c r="G321" t="s">
        <v>103</v>
      </c>
      <c r="H321" t="b">
        <v>1</v>
      </c>
      <c r="I321" t="s">
        <v>1804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27">
        <v>21427700000000</v>
      </c>
      <c r="R321">
        <v>78.5</v>
      </c>
      <c r="S321">
        <v>9.6</v>
      </c>
      <c r="T321">
        <v>36.6</v>
      </c>
      <c r="U321">
        <v>328239523</v>
      </c>
      <c r="V321">
        <f t="shared" ca="1" si="12"/>
        <v>72.535222731981648</v>
      </c>
      <c r="W321" s="25">
        <f t="shared" ca="1" si="13"/>
        <v>46215</v>
      </c>
      <c r="X321" s="25">
        <f t="shared" si="14"/>
        <v>19722</v>
      </c>
    </row>
    <row r="322" spans="1:24" x14ac:dyDescent="0.25">
      <c r="A322">
        <v>332</v>
      </c>
      <c r="B322" t="s">
        <v>103</v>
      </c>
      <c r="C322" t="s">
        <v>1289</v>
      </c>
      <c r="D322" t="s">
        <v>32</v>
      </c>
      <c r="E322" t="s">
        <v>301</v>
      </c>
      <c r="F322" t="s">
        <v>1286</v>
      </c>
      <c r="G322" t="s">
        <v>103</v>
      </c>
      <c r="H322" t="b">
        <v>1</v>
      </c>
      <c r="I322" t="s">
        <v>1804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27">
        <v>21427700000000</v>
      </c>
      <c r="R322">
        <v>78.5</v>
      </c>
      <c r="S322">
        <v>9.6</v>
      </c>
      <c r="T322">
        <v>36.6</v>
      </c>
      <c r="U322">
        <v>328239523</v>
      </c>
      <c r="V322">
        <f t="shared" ref="V322:V385" ca="1" si="15">YEARFRAC(X322,W322,1)</f>
        <v>70.81998631074606</v>
      </c>
      <c r="W322" s="25">
        <f t="shared" ca="1" si="13"/>
        <v>46215</v>
      </c>
      <c r="X322" s="25">
        <f t="shared" si="14"/>
        <v>20348</v>
      </c>
    </row>
    <row r="323" spans="1:24" x14ac:dyDescent="0.25">
      <c r="A323">
        <v>332</v>
      </c>
      <c r="B323" t="s">
        <v>103</v>
      </c>
      <c r="C323" t="s">
        <v>1291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1804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27">
        <v>21427700000000</v>
      </c>
      <c r="R323">
        <v>78.5</v>
      </c>
      <c r="S323">
        <v>9.6</v>
      </c>
      <c r="T323">
        <v>36.6</v>
      </c>
      <c r="U323">
        <v>328239523</v>
      </c>
      <c r="V323">
        <f t="shared" ca="1" si="15"/>
        <v>74.373037891509085</v>
      </c>
      <c r="W323" s="25">
        <f t="shared" ref="W323:W386" ca="1" si="16">TODAY()</f>
        <v>46215</v>
      </c>
      <c r="X323" s="25">
        <f t="shared" ref="X323:X386" si="17">DATE(M323,N323,O323)</f>
        <v>19050</v>
      </c>
    </row>
    <row r="324" spans="1:24" x14ac:dyDescent="0.25">
      <c r="A324">
        <v>344</v>
      </c>
      <c r="B324" t="s">
        <v>72</v>
      </c>
      <c r="C324" t="s">
        <v>1294</v>
      </c>
      <c r="D324" t="s">
        <v>32</v>
      </c>
      <c r="E324" t="s">
        <v>831</v>
      </c>
      <c r="F324" t="s">
        <v>1295</v>
      </c>
      <c r="G324" t="s">
        <v>72</v>
      </c>
      <c r="H324" t="b">
        <v>0</v>
      </c>
      <c r="I324" t="s">
        <v>1803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27">
        <v>21427700000000</v>
      </c>
      <c r="R324">
        <v>78.5</v>
      </c>
      <c r="S324">
        <v>9.6</v>
      </c>
      <c r="T324">
        <v>36.6</v>
      </c>
      <c r="U324">
        <v>328239523</v>
      </c>
      <c r="V324">
        <f t="shared" ca="1" si="15"/>
        <v>90.526355376376429</v>
      </c>
      <c r="W324" s="25">
        <f t="shared" ca="1" si="16"/>
        <v>46215</v>
      </c>
      <c r="X324" s="25">
        <f t="shared" si="17"/>
        <v>13150</v>
      </c>
    </row>
    <row r="325" spans="1:24" x14ac:dyDescent="0.25">
      <c r="A325">
        <v>344</v>
      </c>
      <c r="B325" t="s">
        <v>103</v>
      </c>
      <c r="C325" t="s">
        <v>1298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1803</v>
      </c>
      <c r="J325" t="s">
        <v>1301</v>
      </c>
      <c r="K325" t="s">
        <v>1302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27">
        <v>21427700000000</v>
      </c>
      <c r="R325">
        <v>78.5</v>
      </c>
      <c r="S325">
        <v>9.6</v>
      </c>
      <c r="T325">
        <v>36.6</v>
      </c>
      <c r="U325">
        <v>328239523</v>
      </c>
      <c r="V325">
        <f t="shared" ca="1" si="15"/>
        <v>92.526348327837965</v>
      </c>
      <c r="W325" s="25">
        <f t="shared" ca="1" si="16"/>
        <v>46215</v>
      </c>
      <c r="X325" s="25">
        <f t="shared" si="17"/>
        <v>12420</v>
      </c>
    </row>
    <row r="326" spans="1:24" x14ac:dyDescent="0.25">
      <c r="A326">
        <v>344</v>
      </c>
      <c r="B326" t="s">
        <v>49</v>
      </c>
      <c r="C326" t="s">
        <v>1303</v>
      </c>
      <c r="D326" t="s">
        <v>32</v>
      </c>
      <c r="E326" t="s">
        <v>61</v>
      </c>
      <c r="F326" t="s">
        <v>1304</v>
      </c>
      <c r="G326" t="s">
        <v>49</v>
      </c>
      <c r="H326" t="b">
        <v>1</v>
      </c>
      <c r="I326" t="s">
        <v>1804</v>
      </c>
      <c r="J326" t="s">
        <v>1305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27">
        <v>21427700000000</v>
      </c>
      <c r="R326">
        <v>78.5</v>
      </c>
      <c r="S326">
        <v>9.6</v>
      </c>
      <c r="T326">
        <v>36.6</v>
      </c>
      <c r="U326">
        <v>328239523</v>
      </c>
      <c r="V326">
        <f t="shared" ca="1" si="15"/>
        <v>58.819986310746067</v>
      </c>
      <c r="W326" s="25">
        <f t="shared" ca="1" si="16"/>
        <v>46215</v>
      </c>
      <c r="X326" s="25">
        <f t="shared" si="17"/>
        <v>24731</v>
      </c>
    </row>
    <row r="327" spans="1:24" x14ac:dyDescent="0.25">
      <c r="A327">
        <v>344</v>
      </c>
      <c r="B327" t="s">
        <v>38</v>
      </c>
      <c r="C327" t="s">
        <v>1307</v>
      </c>
      <c r="D327" t="s">
        <v>105</v>
      </c>
      <c r="E327" t="s">
        <v>1308</v>
      </c>
      <c r="F327" t="s">
        <v>1309</v>
      </c>
      <c r="G327" t="s">
        <v>38</v>
      </c>
      <c r="H327" t="b">
        <v>1</v>
      </c>
      <c r="I327" t="s">
        <v>1804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27">
        <v>19910000000000</v>
      </c>
      <c r="R327">
        <v>77</v>
      </c>
      <c r="S327">
        <v>9.4</v>
      </c>
      <c r="T327">
        <v>59.2</v>
      </c>
      <c r="U327">
        <v>1397715000</v>
      </c>
      <c r="V327">
        <f t="shared" ca="1" si="15"/>
        <v>61.800834383555689</v>
      </c>
      <c r="W327" s="25">
        <f t="shared" ca="1" si="16"/>
        <v>46215</v>
      </c>
      <c r="X327" s="25">
        <f t="shared" si="17"/>
        <v>23642</v>
      </c>
    </row>
    <row r="328" spans="1:24" x14ac:dyDescent="0.25">
      <c r="A328">
        <v>344</v>
      </c>
      <c r="B328" t="s">
        <v>462</v>
      </c>
      <c r="C328" t="s">
        <v>1311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1804</v>
      </c>
      <c r="J328" t="s">
        <v>1313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27">
        <v>21427700000000</v>
      </c>
      <c r="R328">
        <v>78.5</v>
      </c>
      <c r="S328">
        <v>9.6</v>
      </c>
      <c r="T328">
        <v>36.6</v>
      </c>
      <c r="U328">
        <v>328239523</v>
      </c>
      <c r="V328">
        <f t="shared" ca="1" si="15"/>
        <v>83.80902531727115</v>
      </c>
      <c r="W328" s="25">
        <f t="shared" ca="1" si="16"/>
        <v>46215</v>
      </c>
      <c r="X328" s="25">
        <f t="shared" si="17"/>
        <v>15604</v>
      </c>
    </row>
    <row r="329" spans="1:24" x14ac:dyDescent="0.25">
      <c r="A329">
        <v>344</v>
      </c>
      <c r="B329" t="s">
        <v>21</v>
      </c>
      <c r="C329" t="s">
        <v>1314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1803</v>
      </c>
      <c r="J329" t="s">
        <v>1315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27">
        <v>1394116310769</v>
      </c>
      <c r="R329">
        <v>83.3</v>
      </c>
      <c r="S329">
        <v>14.2</v>
      </c>
      <c r="T329">
        <v>47</v>
      </c>
      <c r="U329">
        <v>47076781</v>
      </c>
      <c r="V329">
        <f t="shared" ca="1" si="15"/>
        <v>58.006171693735503</v>
      </c>
      <c r="W329" s="25">
        <f t="shared" ca="1" si="16"/>
        <v>46215</v>
      </c>
      <c r="X329" s="25">
        <f t="shared" si="17"/>
        <v>25028</v>
      </c>
    </row>
    <row r="330" spans="1:24" x14ac:dyDescent="0.25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1319</v>
      </c>
      <c r="G330" t="s">
        <v>351</v>
      </c>
      <c r="H330" t="b">
        <v>0</v>
      </c>
      <c r="I330" t="s">
        <v>1803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27">
        <v>21427700000000</v>
      </c>
      <c r="R330">
        <v>78.5</v>
      </c>
      <c r="S330">
        <v>9.6</v>
      </c>
      <c r="T330">
        <v>36.6</v>
      </c>
      <c r="U330">
        <v>328239523</v>
      </c>
      <c r="V330">
        <f t="shared" ca="1" si="15"/>
        <v>72.197802197802204</v>
      </c>
      <c r="W330" s="25">
        <f t="shared" ca="1" si="16"/>
        <v>46215</v>
      </c>
      <c r="X330" s="25">
        <f t="shared" si="17"/>
        <v>19845</v>
      </c>
    </row>
    <row r="331" spans="1:24" x14ac:dyDescent="0.25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1803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27">
        <v>21427700000000</v>
      </c>
      <c r="R331">
        <v>78.5</v>
      </c>
      <c r="S331">
        <v>9.6</v>
      </c>
      <c r="T331">
        <v>36.6</v>
      </c>
      <c r="U331">
        <v>328239523</v>
      </c>
      <c r="V331">
        <f t="shared" ca="1" si="15"/>
        <v>62.340185128851417</v>
      </c>
      <c r="W331" s="25">
        <f t="shared" ca="1" si="16"/>
        <v>46215</v>
      </c>
      <c r="X331" s="25">
        <f t="shared" si="17"/>
        <v>23445</v>
      </c>
    </row>
    <row r="332" spans="1:24" x14ac:dyDescent="0.25">
      <c r="A332">
        <v>352</v>
      </c>
      <c r="B332" t="s">
        <v>72</v>
      </c>
      <c r="C332" t="s">
        <v>1325</v>
      </c>
      <c r="D332" t="s">
        <v>680</v>
      </c>
      <c r="E332" t="s">
        <v>681</v>
      </c>
      <c r="F332" t="s">
        <v>135</v>
      </c>
      <c r="G332" t="s">
        <v>72</v>
      </c>
      <c r="H332" t="b">
        <v>1</v>
      </c>
      <c r="I332" t="s">
        <v>1804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27">
        <v>2001244392042</v>
      </c>
      <c r="R332">
        <v>82.9</v>
      </c>
      <c r="S332">
        <v>24.3</v>
      </c>
      <c r="T332">
        <v>59.1</v>
      </c>
      <c r="U332">
        <v>60297396</v>
      </c>
      <c r="V332">
        <f t="shared" ca="1" si="15"/>
        <v>89.781665563511638</v>
      </c>
      <c r="W332" s="25">
        <f t="shared" ca="1" si="16"/>
        <v>46215</v>
      </c>
      <c r="X332" s="25">
        <f t="shared" si="17"/>
        <v>13422</v>
      </c>
    </row>
    <row r="333" spans="1:24" x14ac:dyDescent="0.25">
      <c r="A333">
        <v>352</v>
      </c>
      <c r="B333" t="s">
        <v>196</v>
      </c>
      <c r="C333" t="s">
        <v>1328</v>
      </c>
      <c r="D333" t="s">
        <v>226</v>
      </c>
      <c r="E333" t="s">
        <v>1329</v>
      </c>
      <c r="F333" t="s">
        <v>1330</v>
      </c>
      <c r="G333" t="s">
        <v>196</v>
      </c>
      <c r="H333" t="b">
        <v>1</v>
      </c>
      <c r="I333" t="s">
        <v>1803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27">
        <v>2827113184696</v>
      </c>
      <c r="R333">
        <v>81.3</v>
      </c>
      <c r="S333">
        <v>25.5</v>
      </c>
      <c r="T333">
        <v>30.6</v>
      </c>
      <c r="U333">
        <v>66834405</v>
      </c>
      <c r="V333">
        <f t="shared" ca="1" si="15"/>
        <v>58.792607802874741</v>
      </c>
      <c r="W333" s="25">
        <f t="shared" ca="1" si="16"/>
        <v>46215</v>
      </c>
      <c r="X333" s="25">
        <f t="shared" si="17"/>
        <v>24741</v>
      </c>
    </row>
    <row r="334" spans="1:24" x14ac:dyDescent="0.25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1804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27">
        <v>21427700000000</v>
      </c>
      <c r="R334">
        <v>78.5</v>
      </c>
      <c r="S334">
        <v>9.6</v>
      </c>
      <c r="T334">
        <v>36.6</v>
      </c>
      <c r="U334">
        <v>328239523</v>
      </c>
      <c r="V334">
        <f t="shared" ca="1" si="15"/>
        <v>43.694025310294471</v>
      </c>
      <c r="W334" s="25">
        <f t="shared" ca="1" si="16"/>
        <v>46215</v>
      </c>
      <c r="X334" s="25">
        <f t="shared" si="17"/>
        <v>30256</v>
      </c>
    </row>
    <row r="335" spans="1:24" x14ac:dyDescent="0.25">
      <c r="A335">
        <v>352</v>
      </c>
      <c r="B335" t="s">
        <v>292</v>
      </c>
      <c r="C335" t="s">
        <v>1335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1803</v>
      </c>
      <c r="J335" t="s">
        <v>1336</v>
      </c>
      <c r="K335" t="s">
        <v>1337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27">
        <v>21427700000000</v>
      </c>
      <c r="R335">
        <v>78.5</v>
      </c>
      <c r="S335">
        <v>9.6</v>
      </c>
      <c r="T335">
        <v>36.6</v>
      </c>
      <c r="U335">
        <v>328239523</v>
      </c>
      <c r="V335">
        <f t="shared" ca="1" si="15"/>
        <v>56.915785498489427</v>
      </c>
      <c r="W335" s="25">
        <f t="shared" ca="1" si="16"/>
        <v>46215</v>
      </c>
      <c r="X335" s="25">
        <f t="shared" si="17"/>
        <v>25427</v>
      </c>
    </row>
    <row r="336" spans="1:24" x14ac:dyDescent="0.25">
      <c r="A336">
        <v>352</v>
      </c>
      <c r="B336" t="s">
        <v>49</v>
      </c>
      <c r="C336" t="s">
        <v>1338</v>
      </c>
      <c r="D336" t="s">
        <v>32</v>
      </c>
      <c r="E336" t="s">
        <v>1339</v>
      </c>
      <c r="F336" t="s">
        <v>371</v>
      </c>
      <c r="G336" t="s">
        <v>49</v>
      </c>
      <c r="H336" t="b">
        <v>0</v>
      </c>
      <c r="I336" t="s">
        <v>1804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27">
        <v>21427700000000</v>
      </c>
      <c r="R336">
        <v>78.5</v>
      </c>
      <c r="S336">
        <v>9.6</v>
      </c>
      <c r="T336">
        <v>36.6</v>
      </c>
      <c r="U336">
        <v>328239523</v>
      </c>
      <c r="V336">
        <f t="shared" ca="1" si="15"/>
        <v>61.644778584155404</v>
      </c>
      <c r="W336" s="25">
        <f t="shared" ca="1" si="16"/>
        <v>46215</v>
      </c>
      <c r="X336" s="25">
        <f t="shared" si="17"/>
        <v>23699</v>
      </c>
    </row>
    <row r="337" spans="1:24" x14ac:dyDescent="0.25">
      <c r="A337">
        <v>352</v>
      </c>
      <c r="B337" t="s">
        <v>49</v>
      </c>
      <c r="C337" t="s">
        <v>1341</v>
      </c>
      <c r="D337" t="s">
        <v>32</v>
      </c>
      <c r="E337" t="s">
        <v>100</v>
      </c>
      <c r="F337" t="s">
        <v>1342</v>
      </c>
      <c r="G337" t="s">
        <v>49</v>
      </c>
      <c r="H337" t="b">
        <v>1</v>
      </c>
      <c r="I337" t="s">
        <v>1804</v>
      </c>
      <c r="J337" t="s">
        <v>1343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27">
        <v>21427700000000</v>
      </c>
      <c r="R337">
        <v>78.5</v>
      </c>
      <c r="S337">
        <v>9.6</v>
      </c>
      <c r="T337">
        <v>36.6</v>
      </c>
      <c r="U337">
        <v>328239523</v>
      </c>
      <c r="V337">
        <f t="shared" ca="1" si="15"/>
        <v>64.66663901103459</v>
      </c>
      <c r="W337" s="25">
        <f t="shared" ca="1" si="16"/>
        <v>46215</v>
      </c>
      <c r="X337" s="25">
        <f t="shared" si="17"/>
        <v>22596</v>
      </c>
    </row>
    <row r="338" spans="1:24" x14ac:dyDescent="0.25">
      <c r="A338">
        <v>352</v>
      </c>
      <c r="B338" t="s">
        <v>38</v>
      </c>
      <c r="C338" t="s">
        <v>1345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1804</v>
      </c>
      <c r="J338" t="s">
        <v>1347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27">
        <v>21427700000000</v>
      </c>
      <c r="R338">
        <v>78.5</v>
      </c>
      <c r="S338">
        <v>9.6</v>
      </c>
      <c r="T338">
        <v>36.6</v>
      </c>
      <c r="U338">
        <v>328239523</v>
      </c>
      <c r="V338">
        <f t="shared" ca="1" si="15"/>
        <v>97.520869419455778</v>
      </c>
      <c r="W338" s="25">
        <f t="shared" ca="1" si="16"/>
        <v>46215</v>
      </c>
      <c r="X338" s="25">
        <f t="shared" si="17"/>
        <v>10596</v>
      </c>
    </row>
    <row r="339" spans="1:24" x14ac:dyDescent="0.25">
      <c r="A339">
        <v>352</v>
      </c>
      <c r="B339" t="s">
        <v>49</v>
      </c>
      <c r="C339" t="s">
        <v>1349</v>
      </c>
      <c r="D339" t="s">
        <v>32</v>
      </c>
      <c r="E339" t="s">
        <v>1350</v>
      </c>
      <c r="F339" t="s">
        <v>204</v>
      </c>
      <c r="G339" t="s">
        <v>49</v>
      </c>
      <c r="H339" t="b">
        <v>1</v>
      </c>
      <c r="I339" t="s">
        <v>1804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27">
        <v>21427700000000</v>
      </c>
      <c r="R339">
        <v>78.5</v>
      </c>
      <c r="S339">
        <v>9.6</v>
      </c>
      <c r="T339">
        <v>36.6</v>
      </c>
      <c r="U339">
        <v>328239523</v>
      </c>
      <c r="V339">
        <f t="shared" ca="1" si="15"/>
        <v>56.557118580060425</v>
      </c>
      <c r="W339" s="25">
        <f t="shared" ca="1" si="16"/>
        <v>46215</v>
      </c>
      <c r="X339" s="25">
        <f t="shared" si="17"/>
        <v>25558</v>
      </c>
    </row>
    <row r="340" spans="1:24" x14ac:dyDescent="0.25">
      <c r="A340">
        <v>352</v>
      </c>
      <c r="B340" t="s">
        <v>49</v>
      </c>
      <c r="C340" t="s">
        <v>1352</v>
      </c>
      <c r="D340" t="s">
        <v>32</v>
      </c>
      <c r="E340" t="s">
        <v>1353</v>
      </c>
      <c r="F340" t="s">
        <v>204</v>
      </c>
      <c r="G340" t="s">
        <v>49</v>
      </c>
      <c r="H340" t="b">
        <v>1</v>
      </c>
      <c r="I340" t="s">
        <v>1804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27">
        <v>21427700000000</v>
      </c>
      <c r="R340">
        <v>78.5</v>
      </c>
      <c r="S340">
        <v>9.6</v>
      </c>
      <c r="T340">
        <v>36.6</v>
      </c>
      <c r="U340">
        <v>328239523</v>
      </c>
      <c r="V340">
        <f t="shared" ca="1" si="15"/>
        <v>64.992450012445033</v>
      </c>
      <c r="W340" s="25">
        <f t="shared" ca="1" si="16"/>
        <v>46215</v>
      </c>
      <c r="X340" s="25">
        <f t="shared" si="17"/>
        <v>22477</v>
      </c>
    </row>
    <row r="341" spans="1:24" x14ac:dyDescent="0.25">
      <c r="A341">
        <v>352</v>
      </c>
      <c r="B341" t="s">
        <v>72</v>
      </c>
      <c r="C341" t="s">
        <v>1355</v>
      </c>
      <c r="D341" t="s">
        <v>327</v>
      </c>
      <c r="E341" t="s">
        <v>328</v>
      </c>
      <c r="F341" t="s">
        <v>1356</v>
      </c>
      <c r="G341" t="s">
        <v>72</v>
      </c>
      <c r="H341" t="b">
        <v>1</v>
      </c>
      <c r="I341" t="s">
        <v>1804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27">
        <v>1699876578871</v>
      </c>
      <c r="R341">
        <v>72.7</v>
      </c>
      <c r="S341">
        <v>11.4</v>
      </c>
      <c r="T341">
        <v>46.2</v>
      </c>
      <c r="U341">
        <v>144373535</v>
      </c>
      <c r="V341">
        <f t="shared" ca="1" si="15"/>
        <v>69.244338404975167</v>
      </c>
      <c r="W341" s="25">
        <f t="shared" ca="1" si="16"/>
        <v>46215</v>
      </c>
      <c r="X341" s="25">
        <f t="shared" si="17"/>
        <v>20924</v>
      </c>
    </row>
    <row r="342" spans="1:24" x14ac:dyDescent="0.25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1205</v>
      </c>
      <c r="G342" t="s">
        <v>38</v>
      </c>
      <c r="H342" t="b">
        <v>1</v>
      </c>
      <c r="I342" t="s">
        <v>1804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27">
        <v>19910000000000</v>
      </c>
      <c r="R342">
        <v>77</v>
      </c>
      <c r="S342">
        <v>9.4</v>
      </c>
      <c r="T342">
        <v>59.2</v>
      </c>
      <c r="U342">
        <v>1397715000</v>
      </c>
      <c r="V342">
        <f t="shared" ca="1" si="15"/>
        <v>61.573595237060537</v>
      </c>
      <c r="W342" s="25">
        <f t="shared" ca="1" si="16"/>
        <v>46215</v>
      </c>
      <c r="X342" s="25">
        <f t="shared" si="17"/>
        <v>23725</v>
      </c>
    </row>
    <row r="343" spans="1:24" x14ac:dyDescent="0.25">
      <c r="A343">
        <v>352</v>
      </c>
      <c r="B343" t="s">
        <v>292</v>
      </c>
      <c r="C343" t="s">
        <v>1360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1803</v>
      </c>
      <c r="J343" t="s">
        <v>1361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27">
        <v>21427700000000</v>
      </c>
      <c r="R343">
        <v>78.5</v>
      </c>
      <c r="S343">
        <v>9.6</v>
      </c>
      <c r="T343">
        <v>36.6</v>
      </c>
      <c r="U343">
        <v>328239523</v>
      </c>
      <c r="V343">
        <f t="shared" ca="1" si="15"/>
        <v>64.871982079150413</v>
      </c>
      <c r="W343" s="25">
        <f t="shared" ca="1" si="16"/>
        <v>46215</v>
      </c>
      <c r="X343" s="25">
        <f t="shared" si="17"/>
        <v>22521</v>
      </c>
    </row>
    <row r="344" spans="1:24" x14ac:dyDescent="0.25">
      <c r="A344">
        <v>365</v>
      </c>
      <c r="B344" t="s">
        <v>49</v>
      </c>
      <c r="C344" t="s">
        <v>1363</v>
      </c>
      <c r="D344" t="s">
        <v>32</v>
      </c>
      <c r="E344" t="s">
        <v>592</v>
      </c>
      <c r="F344" t="s">
        <v>1364</v>
      </c>
      <c r="G344" t="s">
        <v>49</v>
      </c>
      <c r="H344" t="b">
        <v>1</v>
      </c>
      <c r="I344" t="s">
        <v>1804</v>
      </c>
      <c r="J344" t="s">
        <v>1365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27">
        <v>21427700000000</v>
      </c>
      <c r="R344">
        <v>78.5</v>
      </c>
      <c r="S344">
        <v>9.6</v>
      </c>
      <c r="T344">
        <v>36.6</v>
      </c>
      <c r="U344">
        <v>328239523</v>
      </c>
      <c r="V344">
        <f t="shared" ca="1" si="15"/>
        <v>75.61737306215332</v>
      </c>
      <c r="W344" s="25">
        <f t="shared" ca="1" si="16"/>
        <v>46215</v>
      </c>
      <c r="X344" s="25">
        <f t="shared" si="17"/>
        <v>18596</v>
      </c>
    </row>
    <row r="345" spans="1:24" x14ac:dyDescent="0.25">
      <c r="A345">
        <v>365</v>
      </c>
      <c r="B345" t="s">
        <v>49</v>
      </c>
      <c r="C345" t="s">
        <v>1366</v>
      </c>
      <c r="D345" t="s">
        <v>226</v>
      </c>
      <c r="E345" t="s">
        <v>227</v>
      </c>
      <c r="F345" t="s">
        <v>204</v>
      </c>
      <c r="G345" t="s">
        <v>49</v>
      </c>
      <c r="H345" t="b">
        <v>1</v>
      </c>
      <c r="I345" t="s">
        <v>1804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27">
        <v>2827113184696</v>
      </c>
      <c r="R345">
        <v>81.3</v>
      </c>
      <c r="S345">
        <v>25.5</v>
      </c>
      <c r="T345">
        <v>30.6</v>
      </c>
      <c r="U345">
        <v>66834405</v>
      </c>
      <c r="V345">
        <f t="shared" ca="1" si="15"/>
        <v>59.707719928186712</v>
      </c>
      <c r="W345" s="25">
        <f t="shared" ca="1" si="16"/>
        <v>46215</v>
      </c>
      <c r="X345" s="25">
        <f t="shared" si="17"/>
        <v>24407</v>
      </c>
    </row>
    <row r="346" spans="1:24" x14ac:dyDescent="0.25">
      <c r="A346">
        <v>365</v>
      </c>
      <c r="B346" t="s">
        <v>250</v>
      </c>
      <c r="C346" t="s">
        <v>1369</v>
      </c>
      <c r="D346" t="s">
        <v>1195</v>
      </c>
      <c r="E346" t="s">
        <v>1370</v>
      </c>
      <c r="F346" t="s">
        <v>1371</v>
      </c>
      <c r="G346" t="s">
        <v>250</v>
      </c>
      <c r="H346" t="b">
        <v>0</v>
      </c>
      <c r="I346" t="s">
        <v>1804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27">
        <v>348078018464</v>
      </c>
      <c r="R346">
        <v>81</v>
      </c>
      <c r="S346">
        <v>32.4</v>
      </c>
      <c r="T346">
        <v>23.8</v>
      </c>
      <c r="U346">
        <v>5818553</v>
      </c>
      <c r="V346">
        <f t="shared" ca="1" si="15"/>
        <v>78.540725530458587</v>
      </c>
      <c r="W346" s="25">
        <f t="shared" ca="1" si="16"/>
        <v>46215</v>
      </c>
      <c r="X346" s="25">
        <f t="shared" si="17"/>
        <v>17528</v>
      </c>
    </row>
    <row r="347" spans="1:24" x14ac:dyDescent="0.25">
      <c r="A347">
        <v>365</v>
      </c>
      <c r="B347" t="s">
        <v>250</v>
      </c>
      <c r="C347" t="s">
        <v>1374</v>
      </c>
      <c r="D347" t="s">
        <v>1195</v>
      </c>
      <c r="E347" t="s">
        <v>1370</v>
      </c>
      <c r="F347" t="s">
        <v>1371</v>
      </c>
      <c r="G347" t="s">
        <v>250</v>
      </c>
      <c r="H347" t="b">
        <v>0</v>
      </c>
      <c r="I347" t="s">
        <v>1803</v>
      </c>
      <c r="J347" t="s">
        <v>1372</v>
      </c>
      <c r="K347" t="s">
        <v>1375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27">
        <v>348078018464</v>
      </c>
      <c r="R347">
        <v>81</v>
      </c>
      <c r="S347">
        <v>32.4</v>
      </c>
      <c r="T347">
        <v>23.8</v>
      </c>
      <c r="U347">
        <v>5818553</v>
      </c>
      <c r="V347">
        <f t="shared" ca="1" si="15"/>
        <v>50.526358170496032</v>
      </c>
      <c r="W347" s="25">
        <f t="shared" ca="1" si="16"/>
        <v>46215</v>
      </c>
      <c r="X347" s="25">
        <f t="shared" si="17"/>
        <v>27760</v>
      </c>
    </row>
    <row r="348" spans="1:24" x14ac:dyDescent="0.25">
      <c r="A348">
        <v>365</v>
      </c>
      <c r="B348" t="s">
        <v>250</v>
      </c>
      <c r="C348" t="s">
        <v>1376</v>
      </c>
      <c r="D348" t="s">
        <v>1195</v>
      </c>
      <c r="E348" t="s">
        <v>1370</v>
      </c>
      <c r="F348" t="s">
        <v>1371</v>
      </c>
      <c r="G348" t="s">
        <v>250</v>
      </c>
      <c r="H348" t="b">
        <v>0</v>
      </c>
      <c r="I348" t="s">
        <v>1804</v>
      </c>
      <c r="J348" t="s">
        <v>1372</v>
      </c>
      <c r="K348" t="s">
        <v>1377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27">
        <v>348078018464</v>
      </c>
      <c r="R348">
        <v>81</v>
      </c>
      <c r="S348">
        <v>32.4</v>
      </c>
      <c r="T348">
        <v>23.8</v>
      </c>
      <c r="U348">
        <v>5818553</v>
      </c>
      <c r="V348">
        <f t="shared" ca="1" si="15"/>
        <v>47.526351813826146</v>
      </c>
      <c r="W348" s="25">
        <f t="shared" ca="1" si="16"/>
        <v>46215</v>
      </c>
      <c r="X348" s="25">
        <f t="shared" si="17"/>
        <v>28856</v>
      </c>
    </row>
    <row r="349" spans="1:24" x14ac:dyDescent="0.25">
      <c r="A349">
        <v>365</v>
      </c>
      <c r="B349" t="s">
        <v>351</v>
      </c>
      <c r="C349" t="s">
        <v>1378</v>
      </c>
      <c r="D349" t="s">
        <v>680</v>
      </c>
      <c r="E349" t="s">
        <v>1379</v>
      </c>
      <c r="F349" t="s">
        <v>517</v>
      </c>
      <c r="G349" t="s">
        <v>351</v>
      </c>
      <c r="H349" t="b">
        <v>0</v>
      </c>
      <c r="I349" t="s">
        <v>1803</v>
      </c>
      <c r="J349" t="s">
        <v>1380</v>
      </c>
      <c r="K349" t="s">
        <v>1381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27">
        <v>2001244392042</v>
      </c>
      <c r="R349">
        <v>82.9</v>
      </c>
      <c r="S349">
        <v>24.3</v>
      </c>
      <c r="T349">
        <v>59.1</v>
      </c>
      <c r="U349">
        <v>60297396</v>
      </c>
      <c r="V349">
        <f t="shared" ca="1" si="15"/>
        <v>83.526351813826153</v>
      </c>
      <c r="W349" s="25">
        <f t="shared" ca="1" si="16"/>
        <v>46215</v>
      </c>
      <c r="X349" s="25">
        <f t="shared" si="17"/>
        <v>15707</v>
      </c>
    </row>
    <row r="350" spans="1:24" x14ac:dyDescent="0.25">
      <c r="A350">
        <v>365</v>
      </c>
      <c r="B350" t="s">
        <v>30</v>
      </c>
      <c r="C350" t="s">
        <v>1382</v>
      </c>
      <c r="D350" t="s">
        <v>105</v>
      </c>
      <c r="E350" t="s">
        <v>214</v>
      </c>
      <c r="F350" t="s">
        <v>215</v>
      </c>
      <c r="G350" t="s">
        <v>30</v>
      </c>
      <c r="H350" t="b">
        <v>1</v>
      </c>
      <c r="I350" t="s">
        <v>1804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27">
        <v>19910000000000</v>
      </c>
      <c r="R350">
        <v>77</v>
      </c>
      <c r="S350">
        <v>9.4</v>
      </c>
      <c r="T350">
        <v>59.2</v>
      </c>
      <c r="U350">
        <v>1397715000</v>
      </c>
      <c r="V350">
        <f t="shared" ca="1" si="15"/>
        <v>58.526357308584686</v>
      </c>
      <c r="W350" s="25">
        <f t="shared" ca="1" si="16"/>
        <v>46215</v>
      </c>
      <c r="X350" s="25">
        <f t="shared" si="17"/>
        <v>24838</v>
      </c>
    </row>
    <row r="351" spans="1:24" x14ac:dyDescent="0.25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1385</v>
      </c>
      <c r="G351" t="s">
        <v>250</v>
      </c>
      <c r="H351" t="b">
        <v>1</v>
      </c>
      <c r="I351" t="s">
        <v>1804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27">
        <v>19910000000000</v>
      </c>
      <c r="R351">
        <v>77</v>
      </c>
      <c r="S351">
        <v>9.4</v>
      </c>
      <c r="T351">
        <v>59.2</v>
      </c>
      <c r="U351">
        <v>1397715000</v>
      </c>
      <c r="V351">
        <f t="shared" ca="1" si="15"/>
        <v>63.945916347247376</v>
      </c>
      <c r="W351" s="25">
        <f t="shared" ca="1" si="16"/>
        <v>46215</v>
      </c>
      <c r="X351" s="25">
        <f t="shared" si="17"/>
        <v>22859</v>
      </c>
    </row>
    <row r="352" spans="1:24" x14ac:dyDescent="0.25">
      <c r="A352">
        <v>365</v>
      </c>
      <c r="B352" t="s">
        <v>250</v>
      </c>
      <c r="C352" t="s">
        <v>1387</v>
      </c>
      <c r="D352" t="s">
        <v>170</v>
      </c>
      <c r="E352" t="s">
        <v>1388</v>
      </c>
      <c r="F352" t="s">
        <v>348</v>
      </c>
      <c r="G352" t="s">
        <v>250</v>
      </c>
      <c r="H352" t="b">
        <v>0</v>
      </c>
      <c r="I352" t="s">
        <v>1803</v>
      </c>
      <c r="J352" t="s">
        <v>1389</v>
      </c>
      <c r="K352" t="s">
        <v>1390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27">
        <v>703082435360</v>
      </c>
      <c r="R352">
        <v>83.6</v>
      </c>
      <c r="S352">
        <v>10.1</v>
      </c>
      <c r="T352">
        <v>28.8</v>
      </c>
      <c r="U352">
        <v>8574832</v>
      </c>
      <c r="V352">
        <f t="shared" ca="1" si="15"/>
        <v>57.526340634441091</v>
      </c>
      <c r="W352" s="25">
        <f t="shared" ca="1" si="16"/>
        <v>46215</v>
      </c>
      <c r="X352" s="25">
        <f t="shared" si="17"/>
        <v>25204</v>
      </c>
    </row>
    <row r="353" spans="1:24" x14ac:dyDescent="0.25">
      <c r="A353">
        <v>365</v>
      </c>
      <c r="B353" t="s">
        <v>65</v>
      </c>
      <c r="C353" t="s">
        <v>1391</v>
      </c>
      <c r="D353" t="s">
        <v>23</v>
      </c>
      <c r="E353" t="s">
        <v>24</v>
      </c>
      <c r="F353" t="s">
        <v>358</v>
      </c>
      <c r="G353" t="s">
        <v>65</v>
      </c>
      <c r="H353" t="b">
        <v>1</v>
      </c>
      <c r="I353" t="s">
        <v>1804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27">
        <v>2715518274227</v>
      </c>
      <c r="R353">
        <v>82.5</v>
      </c>
      <c r="S353">
        <v>24.2</v>
      </c>
      <c r="T353">
        <v>60.7</v>
      </c>
      <c r="U353">
        <v>67059887</v>
      </c>
      <c r="V353">
        <f t="shared" ca="1" si="15"/>
        <v>58.880219028062967</v>
      </c>
      <c r="W353" s="25">
        <f t="shared" ca="1" si="16"/>
        <v>46215</v>
      </c>
      <c r="X353" s="25">
        <f t="shared" si="17"/>
        <v>24709</v>
      </c>
    </row>
    <row r="354" spans="1:24" x14ac:dyDescent="0.25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1804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27">
        <v>21427700000000</v>
      </c>
      <c r="R354">
        <v>78.5</v>
      </c>
      <c r="S354">
        <v>9.6</v>
      </c>
      <c r="T354">
        <v>36.6</v>
      </c>
      <c r="U354">
        <v>328239523</v>
      </c>
      <c r="V354">
        <f t="shared" ca="1" si="15"/>
        <v>75.293634496919921</v>
      </c>
      <c r="W354" s="25">
        <f t="shared" ca="1" si="16"/>
        <v>46215</v>
      </c>
      <c r="X354" s="25">
        <f t="shared" si="17"/>
        <v>18714</v>
      </c>
    </row>
    <row r="355" spans="1:24" x14ac:dyDescent="0.25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1804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27">
        <v>21427700000000</v>
      </c>
      <c r="R355">
        <v>78.5</v>
      </c>
      <c r="S355">
        <v>9.6</v>
      </c>
      <c r="T355">
        <v>36.6</v>
      </c>
      <c r="U355">
        <v>328239523</v>
      </c>
      <c r="V355">
        <f t="shared" ca="1" si="15"/>
        <v>87.546190051373557</v>
      </c>
      <c r="W355" s="25">
        <f t="shared" ca="1" si="16"/>
        <v>46215</v>
      </c>
      <c r="X355" s="25">
        <f t="shared" si="17"/>
        <v>14239</v>
      </c>
    </row>
    <row r="356" spans="1:24" x14ac:dyDescent="0.25">
      <c r="A356">
        <v>365</v>
      </c>
      <c r="B356" t="s">
        <v>462</v>
      </c>
      <c r="C356" t="s">
        <v>1401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1804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27">
        <v>21427700000000</v>
      </c>
      <c r="R356">
        <v>78.5</v>
      </c>
      <c r="S356">
        <v>9.6</v>
      </c>
      <c r="T356">
        <v>36.6</v>
      </c>
      <c r="U356">
        <v>328239523</v>
      </c>
      <c r="V356">
        <f t="shared" ca="1" si="15"/>
        <v>87.137577002053391</v>
      </c>
      <c r="W356" s="25">
        <f t="shared" ca="1" si="16"/>
        <v>46215</v>
      </c>
      <c r="X356" s="25">
        <f t="shared" si="17"/>
        <v>14388</v>
      </c>
    </row>
    <row r="357" spans="1:24" x14ac:dyDescent="0.25">
      <c r="A357">
        <v>365</v>
      </c>
      <c r="B357" t="s">
        <v>49</v>
      </c>
      <c r="C357" t="s">
        <v>1404</v>
      </c>
      <c r="D357" t="s">
        <v>32</v>
      </c>
      <c r="E357" t="s">
        <v>1405</v>
      </c>
      <c r="F357" t="s">
        <v>204</v>
      </c>
      <c r="G357" t="s">
        <v>49</v>
      </c>
      <c r="H357" t="b">
        <v>1</v>
      </c>
      <c r="I357" t="s">
        <v>1804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27">
        <v>21427700000000</v>
      </c>
      <c r="R357">
        <v>78.5</v>
      </c>
      <c r="S357">
        <v>9.6</v>
      </c>
      <c r="T357">
        <v>36.6</v>
      </c>
      <c r="U357">
        <v>328239523</v>
      </c>
      <c r="V357">
        <f t="shared" ca="1" si="15"/>
        <v>95.915803437861626</v>
      </c>
      <c r="W357" s="25">
        <f t="shared" ca="1" si="16"/>
        <v>46215</v>
      </c>
      <c r="X357" s="25">
        <f t="shared" si="17"/>
        <v>11182</v>
      </c>
    </row>
    <row r="358" spans="1:24" x14ac:dyDescent="0.25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1409</v>
      </c>
      <c r="G358" t="s">
        <v>38</v>
      </c>
      <c r="H358" t="b">
        <v>1</v>
      </c>
      <c r="I358" t="s">
        <v>1804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27">
        <v>21427700000000</v>
      </c>
      <c r="R358">
        <v>78.5</v>
      </c>
      <c r="S358">
        <v>9.6</v>
      </c>
      <c r="T358">
        <v>36.6</v>
      </c>
      <c r="U358">
        <v>328239523</v>
      </c>
      <c r="V358">
        <f t="shared" ca="1" si="15"/>
        <v>74.748802190280628</v>
      </c>
      <c r="W358" s="25">
        <f t="shared" ca="1" si="16"/>
        <v>46215</v>
      </c>
      <c r="X358" s="25">
        <f t="shared" si="17"/>
        <v>18913</v>
      </c>
    </row>
    <row r="359" spans="1:24" x14ac:dyDescent="0.25">
      <c r="A359">
        <v>365</v>
      </c>
      <c r="B359" t="s">
        <v>250</v>
      </c>
      <c r="C359" t="s">
        <v>1410</v>
      </c>
      <c r="D359" t="s">
        <v>1195</v>
      </c>
      <c r="E359" t="s">
        <v>1370</v>
      </c>
      <c r="F359" t="s">
        <v>1371</v>
      </c>
      <c r="G359" t="s">
        <v>250</v>
      </c>
      <c r="H359" t="b">
        <v>0</v>
      </c>
      <c r="I359" t="s">
        <v>1803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27">
        <v>348078018464</v>
      </c>
      <c r="R359">
        <v>81</v>
      </c>
      <c r="S359">
        <v>32.4</v>
      </c>
      <c r="T359">
        <v>23.8</v>
      </c>
      <c r="U359">
        <v>5818553</v>
      </c>
      <c r="V359">
        <f t="shared" ca="1" si="15"/>
        <v>43.15126625598905</v>
      </c>
      <c r="W359" s="25">
        <f t="shared" ca="1" si="16"/>
        <v>46215</v>
      </c>
      <c r="X359" s="25">
        <f t="shared" si="17"/>
        <v>30454</v>
      </c>
    </row>
    <row r="360" spans="1:24" x14ac:dyDescent="0.25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1409</v>
      </c>
      <c r="G360" t="s">
        <v>38</v>
      </c>
      <c r="H360" t="b">
        <v>1</v>
      </c>
      <c r="I360" t="s">
        <v>1804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27">
        <v>21427700000000</v>
      </c>
      <c r="R360">
        <v>78.5</v>
      </c>
      <c r="S360">
        <v>9.6</v>
      </c>
      <c r="T360">
        <v>36.6</v>
      </c>
      <c r="U360">
        <v>328239523</v>
      </c>
      <c r="V360">
        <f t="shared" ca="1" si="15"/>
        <v>84.915793830186871</v>
      </c>
      <c r="W360" s="25">
        <f t="shared" ca="1" si="16"/>
        <v>46215</v>
      </c>
      <c r="X360" s="25">
        <f t="shared" si="17"/>
        <v>15200</v>
      </c>
    </row>
    <row r="361" spans="1:24" x14ac:dyDescent="0.25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1804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27">
        <v>19910000000000</v>
      </c>
      <c r="R361">
        <v>77</v>
      </c>
      <c r="S361">
        <v>9.4</v>
      </c>
      <c r="T361">
        <v>59.2</v>
      </c>
      <c r="U361">
        <v>1397715000</v>
      </c>
      <c r="V361">
        <f t="shared" ca="1" si="15"/>
        <v>68.526347115308312</v>
      </c>
      <c r="W361" s="25">
        <f t="shared" ca="1" si="16"/>
        <v>46215</v>
      </c>
      <c r="X361" s="25">
        <f t="shared" si="17"/>
        <v>21186</v>
      </c>
    </row>
    <row r="362" spans="1:24" x14ac:dyDescent="0.25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348</v>
      </c>
      <c r="G362" t="s">
        <v>250</v>
      </c>
      <c r="H362" t="b">
        <v>0</v>
      </c>
      <c r="I362" t="s">
        <v>1803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27">
        <v>703082435360</v>
      </c>
      <c r="R362">
        <v>83.6</v>
      </c>
      <c r="S362">
        <v>10.1</v>
      </c>
      <c r="T362">
        <v>28.8</v>
      </c>
      <c r="U362">
        <v>8574832</v>
      </c>
      <c r="V362">
        <f t="shared" ca="1" si="15"/>
        <v>50.526358170496032</v>
      </c>
      <c r="W362" s="25">
        <f t="shared" ca="1" si="16"/>
        <v>46215</v>
      </c>
      <c r="X362" s="25">
        <f t="shared" si="17"/>
        <v>27760</v>
      </c>
    </row>
    <row r="363" spans="1:24" x14ac:dyDescent="0.25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1424</v>
      </c>
      <c r="G363" t="s">
        <v>103</v>
      </c>
      <c r="H363" t="b">
        <v>0</v>
      </c>
      <c r="I363" t="s">
        <v>1804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27">
        <v>21427700000000</v>
      </c>
      <c r="R363">
        <v>78.5</v>
      </c>
      <c r="S363">
        <v>9.6</v>
      </c>
      <c r="T363">
        <v>36.6</v>
      </c>
      <c r="U363">
        <v>328239523</v>
      </c>
      <c r="V363">
        <f t="shared" ca="1" si="15"/>
        <v>72.222443085924311</v>
      </c>
      <c r="W363" s="25">
        <f t="shared" ca="1" si="16"/>
        <v>46215</v>
      </c>
      <c r="X363" s="25">
        <f t="shared" si="17"/>
        <v>19836</v>
      </c>
    </row>
    <row r="364" spans="1:24" x14ac:dyDescent="0.25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1424</v>
      </c>
      <c r="G364" t="s">
        <v>103</v>
      </c>
      <c r="H364" t="b">
        <v>0</v>
      </c>
      <c r="I364" t="s">
        <v>1804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27">
        <v>21427700000000</v>
      </c>
      <c r="R364">
        <v>78.5</v>
      </c>
      <c r="S364">
        <v>9.6</v>
      </c>
      <c r="T364">
        <v>36.6</v>
      </c>
      <c r="U364">
        <v>328239523</v>
      </c>
      <c r="V364">
        <f t="shared" ca="1" si="15"/>
        <v>73.36480686695279</v>
      </c>
      <c r="W364" s="25">
        <f t="shared" ca="1" si="16"/>
        <v>46215</v>
      </c>
      <c r="X364" s="25">
        <f t="shared" si="17"/>
        <v>19419</v>
      </c>
    </row>
    <row r="365" spans="1:24" x14ac:dyDescent="0.25">
      <c r="A365">
        <v>383</v>
      </c>
      <c r="B365" t="s">
        <v>103</v>
      </c>
      <c r="C365" t="s">
        <v>1429</v>
      </c>
      <c r="D365" t="s">
        <v>32</v>
      </c>
      <c r="E365" t="s">
        <v>1430</v>
      </c>
      <c r="F365" t="s">
        <v>1424</v>
      </c>
      <c r="G365" t="s">
        <v>103</v>
      </c>
      <c r="H365" t="b">
        <v>0</v>
      </c>
      <c r="I365" t="s">
        <v>1803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27">
        <v>21427700000000</v>
      </c>
      <c r="R365">
        <v>78.5</v>
      </c>
      <c r="S365">
        <v>9.6</v>
      </c>
      <c r="T365">
        <v>36.6</v>
      </c>
      <c r="U365">
        <v>328239523</v>
      </c>
      <c r="V365">
        <f t="shared" ca="1" si="15"/>
        <v>70.568104038329906</v>
      </c>
      <c r="W365" s="25">
        <f t="shared" ca="1" si="16"/>
        <v>46215</v>
      </c>
      <c r="X365" s="25">
        <f t="shared" si="17"/>
        <v>20440</v>
      </c>
    </row>
    <row r="366" spans="1:24" x14ac:dyDescent="0.25">
      <c r="A366">
        <v>383</v>
      </c>
      <c r="B366" t="s">
        <v>49</v>
      </c>
      <c r="C366" t="s">
        <v>1433</v>
      </c>
      <c r="D366" t="s">
        <v>32</v>
      </c>
      <c r="E366" t="s">
        <v>61</v>
      </c>
      <c r="F366" t="s">
        <v>204</v>
      </c>
      <c r="G366" t="s">
        <v>49</v>
      </c>
      <c r="H366" t="b">
        <v>1</v>
      </c>
      <c r="I366" t="s">
        <v>1804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27">
        <v>21427700000000</v>
      </c>
      <c r="R366">
        <v>78.5</v>
      </c>
      <c r="S366">
        <v>9.6</v>
      </c>
      <c r="T366">
        <v>36.6</v>
      </c>
      <c r="U366">
        <v>328239523</v>
      </c>
      <c r="V366">
        <f t="shared" ca="1" si="15"/>
        <v>81.375759599332213</v>
      </c>
      <c r="W366" s="25">
        <f t="shared" ca="1" si="16"/>
        <v>46215</v>
      </c>
      <c r="X366" s="25">
        <f t="shared" si="17"/>
        <v>16493</v>
      </c>
    </row>
    <row r="367" spans="1:24" x14ac:dyDescent="0.25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387</v>
      </c>
      <c r="G367" t="s">
        <v>38</v>
      </c>
      <c r="H367" t="b">
        <v>1</v>
      </c>
      <c r="I367" t="s">
        <v>1804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27">
        <v>21427700000000</v>
      </c>
      <c r="R367">
        <v>78.5</v>
      </c>
      <c r="S367">
        <v>9.6</v>
      </c>
      <c r="T367">
        <v>36.6</v>
      </c>
      <c r="U367">
        <v>328239523</v>
      </c>
      <c r="V367">
        <f t="shared" ca="1" si="15"/>
        <v>66.759753593429153</v>
      </c>
      <c r="W367" s="25">
        <f t="shared" ca="1" si="16"/>
        <v>46215</v>
      </c>
      <c r="X367" s="25">
        <f t="shared" si="17"/>
        <v>21831</v>
      </c>
    </row>
    <row r="368" spans="1:24" x14ac:dyDescent="0.25">
      <c r="A368">
        <v>383</v>
      </c>
      <c r="B368" t="s">
        <v>49</v>
      </c>
      <c r="C368" t="s">
        <v>1439</v>
      </c>
      <c r="D368" t="s">
        <v>158</v>
      </c>
      <c r="E368" t="s">
        <v>1440</v>
      </c>
      <c r="F368" t="s">
        <v>264</v>
      </c>
      <c r="G368" t="s">
        <v>49</v>
      </c>
      <c r="H368" t="b">
        <v>0</v>
      </c>
      <c r="I368" t="s">
        <v>1803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27">
        <v>3845630030824</v>
      </c>
      <c r="R368">
        <v>80.900000000000006</v>
      </c>
      <c r="S368">
        <v>11.5</v>
      </c>
      <c r="T368">
        <v>48.8</v>
      </c>
      <c r="U368">
        <v>83132799</v>
      </c>
      <c r="V368">
        <f t="shared" ca="1" si="15"/>
        <v>50.509931286235776</v>
      </c>
      <c r="W368" s="25">
        <f t="shared" ca="1" si="16"/>
        <v>46215</v>
      </c>
      <c r="X368" s="25">
        <f t="shared" si="17"/>
        <v>27766</v>
      </c>
    </row>
    <row r="369" spans="1:24" x14ac:dyDescent="0.25">
      <c r="A369">
        <v>390</v>
      </c>
      <c r="B369" t="s">
        <v>49</v>
      </c>
      <c r="C369" t="s">
        <v>1443</v>
      </c>
      <c r="D369" t="s">
        <v>32</v>
      </c>
      <c r="E369" t="s">
        <v>130</v>
      </c>
      <c r="F369" t="s">
        <v>802</v>
      </c>
      <c r="G369" t="s">
        <v>49</v>
      </c>
      <c r="H369" t="b">
        <v>1</v>
      </c>
      <c r="I369" t="s">
        <v>1804</v>
      </c>
      <c r="J369" t="s">
        <v>1444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27">
        <v>21427700000000</v>
      </c>
      <c r="R369">
        <v>78.5</v>
      </c>
      <c r="S369">
        <v>9.6</v>
      </c>
      <c r="T369">
        <v>36.6</v>
      </c>
      <c r="U369">
        <v>328239523</v>
      </c>
      <c r="V369">
        <f t="shared" ca="1" si="15"/>
        <v>83.622849964568701</v>
      </c>
      <c r="W369" s="25">
        <f t="shared" ca="1" si="16"/>
        <v>46215</v>
      </c>
      <c r="X369" s="25">
        <f t="shared" si="17"/>
        <v>15672</v>
      </c>
    </row>
    <row r="370" spans="1:24" x14ac:dyDescent="0.25">
      <c r="A370">
        <v>390</v>
      </c>
      <c r="B370" t="s">
        <v>38</v>
      </c>
      <c r="C370" t="s">
        <v>1445</v>
      </c>
      <c r="D370" t="s">
        <v>32</v>
      </c>
      <c r="E370" t="s">
        <v>40</v>
      </c>
      <c r="F370" t="s">
        <v>56</v>
      </c>
      <c r="G370" t="s">
        <v>38</v>
      </c>
      <c r="H370" t="b">
        <v>0</v>
      </c>
      <c r="I370" t="s">
        <v>1803</v>
      </c>
      <c r="J370" t="s">
        <v>1446</v>
      </c>
      <c r="K370" t="s">
        <v>1447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27">
        <v>21427700000000</v>
      </c>
      <c r="R370">
        <v>78.5</v>
      </c>
      <c r="S370">
        <v>9.6</v>
      </c>
      <c r="T370">
        <v>36.6</v>
      </c>
      <c r="U370">
        <v>328239523</v>
      </c>
      <c r="V370">
        <f t="shared" ca="1" si="15"/>
        <v>61.904871583155881</v>
      </c>
      <c r="W370" s="25">
        <f t="shared" ca="1" si="16"/>
        <v>46215</v>
      </c>
      <c r="X370" s="25">
        <f t="shared" si="17"/>
        <v>23604</v>
      </c>
    </row>
    <row r="371" spans="1:24" x14ac:dyDescent="0.25">
      <c r="A371">
        <v>390</v>
      </c>
      <c r="B371" t="s">
        <v>462</v>
      </c>
      <c r="C371" t="s">
        <v>1448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1803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27">
        <v>21427700000000</v>
      </c>
      <c r="R371">
        <v>78.5</v>
      </c>
      <c r="S371">
        <v>9.6</v>
      </c>
      <c r="T371">
        <v>36.6</v>
      </c>
      <c r="U371">
        <v>328239523</v>
      </c>
      <c r="V371">
        <f t="shared" ca="1" si="15"/>
        <v>96.370289875525685</v>
      </c>
      <c r="W371" s="25">
        <f t="shared" ca="1" si="16"/>
        <v>46215</v>
      </c>
      <c r="X371" s="25">
        <f t="shared" si="17"/>
        <v>11016</v>
      </c>
    </row>
    <row r="372" spans="1:24" x14ac:dyDescent="0.25">
      <c r="A372">
        <v>390</v>
      </c>
      <c r="B372" t="s">
        <v>462</v>
      </c>
      <c r="C372" t="s">
        <v>1452</v>
      </c>
      <c r="D372" t="s">
        <v>226</v>
      </c>
      <c r="E372" t="s">
        <v>227</v>
      </c>
      <c r="F372" t="s">
        <v>1453</v>
      </c>
      <c r="G372" t="s">
        <v>462</v>
      </c>
      <c r="H372" t="b">
        <v>1</v>
      </c>
      <c r="I372" t="s">
        <v>1804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27">
        <v>2827113184696</v>
      </c>
      <c r="R372">
        <v>81.3</v>
      </c>
      <c r="S372">
        <v>25.5</v>
      </c>
      <c r="T372">
        <v>30.6</v>
      </c>
      <c r="U372">
        <v>66834405</v>
      </c>
      <c r="V372">
        <f t="shared" ca="1" si="15"/>
        <v>87.861045313317135</v>
      </c>
      <c r="W372" s="25">
        <f t="shared" ca="1" si="16"/>
        <v>46215</v>
      </c>
      <c r="X372" s="25">
        <f t="shared" si="17"/>
        <v>14124</v>
      </c>
    </row>
    <row r="373" spans="1:24" x14ac:dyDescent="0.25">
      <c r="A373">
        <v>390</v>
      </c>
      <c r="B373" t="s">
        <v>462</v>
      </c>
      <c r="C373" t="s">
        <v>1455</v>
      </c>
      <c r="D373" t="s">
        <v>170</v>
      </c>
      <c r="E373" t="s">
        <v>1456</v>
      </c>
      <c r="F373" t="s">
        <v>465</v>
      </c>
      <c r="G373" t="s">
        <v>462</v>
      </c>
      <c r="H373" t="b">
        <v>1</v>
      </c>
      <c r="I373" t="s">
        <v>1804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27">
        <v>703082435360</v>
      </c>
      <c r="R373">
        <v>83.6</v>
      </c>
      <c r="S373">
        <v>10.1</v>
      </c>
      <c r="T373">
        <v>28.8</v>
      </c>
      <c r="U373">
        <v>8574832</v>
      </c>
      <c r="V373">
        <f t="shared" ca="1" si="15"/>
        <v>55.222450376454482</v>
      </c>
      <c r="W373" s="25">
        <f t="shared" ca="1" si="16"/>
        <v>46215</v>
      </c>
      <c r="X373" s="25">
        <f t="shared" si="17"/>
        <v>26045</v>
      </c>
    </row>
    <row r="374" spans="1:24" x14ac:dyDescent="0.25">
      <c r="A374">
        <v>397</v>
      </c>
      <c r="B374" t="s">
        <v>49</v>
      </c>
      <c r="C374" t="s">
        <v>1459</v>
      </c>
      <c r="D374" t="s">
        <v>497</v>
      </c>
      <c r="E374" t="s">
        <v>1460</v>
      </c>
      <c r="F374" t="s">
        <v>264</v>
      </c>
      <c r="G374" t="s">
        <v>49</v>
      </c>
      <c r="H374" t="b">
        <v>1</v>
      </c>
      <c r="I374" t="s">
        <v>1804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27">
        <v>530832908738</v>
      </c>
      <c r="R374">
        <v>82.5</v>
      </c>
      <c r="S374">
        <v>27.9</v>
      </c>
      <c r="T374">
        <v>49.1</v>
      </c>
      <c r="U374">
        <v>10285453</v>
      </c>
      <c r="V374">
        <f t="shared" ca="1" si="15"/>
        <v>74.896646132785762</v>
      </c>
      <c r="W374" s="25">
        <f t="shared" ca="1" si="16"/>
        <v>46215</v>
      </c>
      <c r="X374" s="25">
        <f t="shared" si="17"/>
        <v>18859</v>
      </c>
    </row>
    <row r="375" spans="1:24" x14ac:dyDescent="0.25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1463</v>
      </c>
      <c r="G375" t="s">
        <v>590</v>
      </c>
      <c r="H375" t="b">
        <v>1</v>
      </c>
      <c r="I375" t="s">
        <v>1804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27">
        <v>21427700000000</v>
      </c>
      <c r="R375">
        <v>78.5</v>
      </c>
      <c r="S375">
        <v>9.6</v>
      </c>
      <c r="T375">
        <v>36.6</v>
      </c>
      <c r="U375">
        <v>328239523</v>
      </c>
      <c r="V375">
        <f t="shared" ca="1" si="15"/>
        <v>66.252574370709382</v>
      </c>
      <c r="W375" s="25">
        <f t="shared" ca="1" si="16"/>
        <v>46215</v>
      </c>
      <c r="X375" s="25">
        <f t="shared" si="17"/>
        <v>22016</v>
      </c>
    </row>
    <row r="376" spans="1:24" x14ac:dyDescent="0.25">
      <c r="A376">
        <v>397</v>
      </c>
      <c r="B376" t="s">
        <v>49</v>
      </c>
      <c r="C376" t="s">
        <v>1465</v>
      </c>
      <c r="D376" t="s">
        <v>32</v>
      </c>
      <c r="E376" t="s">
        <v>61</v>
      </c>
      <c r="F376" t="s">
        <v>204</v>
      </c>
      <c r="G376" t="s">
        <v>49</v>
      </c>
      <c r="H376" t="b">
        <v>1</v>
      </c>
      <c r="I376" t="s">
        <v>1804</v>
      </c>
      <c r="J376" t="s">
        <v>1466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27">
        <v>21427700000000</v>
      </c>
      <c r="R376">
        <v>78.5</v>
      </c>
      <c r="S376">
        <v>9.6</v>
      </c>
      <c r="T376">
        <v>36.6</v>
      </c>
      <c r="U376">
        <v>328239523</v>
      </c>
      <c r="V376">
        <f t="shared" ca="1" si="15"/>
        <v>73.077327216220226</v>
      </c>
      <c r="W376" s="25">
        <f t="shared" ca="1" si="16"/>
        <v>46215</v>
      </c>
      <c r="X376" s="25">
        <f t="shared" si="17"/>
        <v>19524</v>
      </c>
    </row>
    <row r="377" spans="1:24" x14ac:dyDescent="0.25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1468</v>
      </c>
      <c r="G377" t="s">
        <v>351</v>
      </c>
      <c r="H377" t="b">
        <v>1</v>
      </c>
      <c r="I377" t="s">
        <v>1803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27">
        <v>19910000000000</v>
      </c>
      <c r="R377">
        <v>77</v>
      </c>
      <c r="S377">
        <v>9.4</v>
      </c>
      <c r="T377">
        <v>59.2</v>
      </c>
      <c r="U377">
        <v>1397715000</v>
      </c>
      <c r="V377">
        <f t="shared" ca="1" si="15"/>
        <v>62.69404517453799</v>
      </c>
      <c r="W377" s="25">
        <f t="shared" ca="1" si="16"/>
        <v>46215</v>
      </c>
      <c r="X377" s="25">
        <f t="shared" si="17"/>
        <v>23316</v>
      </c>
    </row>
    <row r="378" spans="1:24" x14ac:dyDescent="0.25">
      <c r="A378">
        <v>397</v>
      </c>
      <c r="B378" t="s">
        <v>292</v>
      </c>
      <c r="C378" t="s">
        <v>1470</v>
      </c>
      <c r="D378" t="s">
        <v>23</v>
      </c>
      <c r="E378" t="s">
        <v>24</v>
      </c>
      <c r="F378" t="s">
        <v>619</v>
      </c>
      <c r="G378" t="s">
        <v>292</v>
      </c>
      <c r="H378" t="b">
        <v>1</v>
      </c>
      <c r="I378" t="s">
        <v>1804</v>
      </c>
      <c r="J378" t="s">
        <v>1471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27">
        <v>2715518274227</v>
      </c>
      <c r="R378">
        <v>82.5</v>
      </c>
      <c r="S378">
        <v>24.2</v>
      </c>
      <c r="T378">
        <v>60.7</v>
      </c>
      <c r="U378">
        <v>67059887</v>
      </c>
      <c r="V378">
        <f t="shared" ca="1" si="15"/>
        <v>63.740575375931932</v>
      </c>
      <c r="W378" s="25">
        <f t="shared" ca="1" si="16"/>
        <v>46215</v>
      </c>
      <c r="X378" s="25">
        <f t="shared" si="17"/>
        <v>22934</v>
      </c>
    </row>
    <row r="379" spans="1:24" x14ac:dyDescent="0.25">
      <c r="A379">
        <v>397</v>
      </c>
      <c r="B379" t="s">
        <v>49</v>
      </c>
      <c r="C379" t="s">
        <v>1473</v>
      </c>
      <c r="D379" t="s">
        <v>1474</v>
      </c>
      <c r="E379" t="s">
        <v>1475</v>
      </c>
      <c r="F379" t="s">
        <v>478</v>
      </c>
      <c r="G379" t="s">
        <v>49</v>
      </c>
      <c r="H379" t="b">
        <v>1</v>
      </c>
      <c r="I379" t="s">
        <v>1804</v>
      </c>
      <c r="J379" t="s">
        <v>1476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27">
        <v>323802808108</v>
      </c>
      <c r="R379">
        <v>77.099999999999994</v>
      </c>
      <c r="S379">
        <v>14.4</v>
      </c>
      <c r="T379">
        <v>71.2</v>
      </c>
      <c r="U379">
        <v>50339443</v>
      </c>
      <c r="V379">
        <f t="shared" ca="1" si="15"/>
        <v>93.455159758832608</v>
      </c>
      <c r="W379" s="25">
        <f t="shared" ca="1" si="16"/>
        <v>46215</v>
      </c>
      <c r="X379" s="25">
        <f t="shared" si="17"/>
        <v>12081</v>
      </c>
    </row>
    <row r="380" spans="1:24" x14ac:dyDescent="0.25">
      <c r="A380">
        <v>397</v>
      </c>
      <c r="B380" t="s">
        <v>168</v>
      </c>
      <c r="C380" t="s">
        <v>1479</v>
      </c>
      <c r="D380" t="s">
        <v>32</v>
      </c>
      <c r="E380" t="s">
        <v>1480</v>
      </c>
      <c r="F380" t="s">
        <v>1481</v>
      </c>
      <c r="G380" t="s">
        <v>168</v>
      </c>
      <c r="H380" t="b">
        <v>1</v>
      </c>
      <c r="I380" t="s">
        <v>1804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27">
        <v>21427700000000</v>
      </c>
      <c r="R380">
        <v>78.5</v>
      </c>
      <c r="S380">
        <v>9.6</v>
      </c>
      <c r="T380">
        <v>36.6</v>
      </c>
      <c r="U380">
        <v>328239523</v>
      </c>
      <c r="V380">
        <f t="shared" ca="1" si="15"/>
        <v>91.959609043805941</v>
      </c>
      <c r="W380" s="25">
        <f t="shared" ca="1" si="16"/>
        <v>46215</v>
      </c>
      <c r="X380" s="25">
        <f t="shared" si="17"/>
        <v>12627</v>
      </c>
    </row>
    <row r="381" spans="1:24" x14ac:dyDescent="0.25">
      <c r="A381">
        <v>405</v>
      </c>
      <c r="B381" t="s">
        <v>580</v>
      </c>
      <c r="C381" t="s">
        <v>1484</v>
      </c>
      <c r="D381" t="s">
        <v>226</v>
      </c>
      <c r="E381" t="s">
        <v>861</v>
      </c>
      <c r="F381" t="s">
        <v>1246</v>
      </c>
      <c r="G381" t="s">
        <v>580</v>
      </c>
      <c r="H381" t="b">
        <v>0</v>
      </c>
      <c r="I381" t="s">
        <v>1804</v>
      </c>
      <c r="J381" t="s">
        <v>1485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27">
        <v>2827113184696</v>
      </c>
      <c r="R381">
        <v>81.3</v>
      </c>
      <c r="S381">
        <v>25.5</v>
      </c>
      <c r="T381">
        <v>30.6</v>
      </c>
      <c r="U381">
        <v>66834405</v>
      </c>
      <c r="V381">
        <f t="shared" ca="1" si="15"/>
        <v>80.718664440734557</v>
      </c>
      <c r="W381" s="25">
        <f t="shared" ca="1" si="16"/>
        <v>46215</v>
      </c>
      <c r="X381" s="25">
        <f t="shared" si="17"/>
        <v>16733</v>
      </c>
    </row>
    <row r="382" spans="1:24" x14ac:dyDescent="0.25">
      <c r="A382">
        <v>405</v>
      </c>
      <c r="B382" t="s">
        <v>292</v>
      </c>
      <c r="C382" t="s">
        <v>1486</v>
      </c>
      <c r="D382" t="s">
        <v>105</v>
      </c>
      <c r="E382" t="s">
        <v>903</v>
      </c>
      <c r="F382" t="s">
        <v>1487</v>
      </c>
      <c r="G382" t="s">
        <v>292</v>
      </c>
      <c r="H382" t="b">
        <v>1</v>
      </c>
      <c r="I382" t="s">
        <v>1804</v>
      </c>
      <c r="J382" t="s">
        <v>1488</v>
      </c>
      <c r="K382" t="s">
        <v>1489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27">
        <v>19910000000000</v>
      </c>
      <c r="R382">
        <v>77</v>
      </c>
      <c r="S382">
        <v>9.4</v>
      </c>
      <c r="T382">
        <v>59.2</v>
      </c>
      <c r="U382">
        <v>1397715000</v>
      </c>
      <c r="V382">
        <f t="shared" ca="1" si="15"/>
        <v>61.526341355707657</v>
      </c>
      <c r="W382" s="25">
        <f t="shared" ca="1" si="16"/>
        <v>46215</v>
      </c>
      <c r="X382" s="25">
        <f t="shared" si="17"/>
        <v>23743</v>
      </c>
    </row>
    <row r="383" spans="1:24" x14ac:dyDescent="0.25">
      <c r="A383">
        <v>405</v>
      </c>
      <c r="B383" t="s">
        <v>49</v>
      </c>
      <c r="C383" t="s">
        <v>1490</v>
      </c>
      <c r="D383" t="s">
        <v>226</v>
      </c>
      <c r="E383" t="s">
        <v>227</v>
      </c>
      <c r="F383" t="s">
        <v>802</v>
      </c>
      <c r="G383" t="s">
        <v>49</v>
      </c>
      <c r="H383" t="b">
        <v>1</v>
      </c>
      <c r="I383" t="s">
        <v>1804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27">
        <v>2827113184696</v>
      </c>
      <c r="R383">
        <v>81.3</v>
      </c>
      <c r="S383">
        <v>25.5</v>
      </c>
      <c r="T383">
        <v>30.6</v>
      </c>
      <c r="U383">
        <v>66834405</v>
      </c>
      <c r="V383">
        <f t="shared" ca="1" si="15"/>
        <v>70.110207072070338</v>
      </c>
      <c r="W383" s="25">
        <f t="shared" ca="1" si="16"/>
        <v>46215</v>
      </c>
      <c r="X383" s="25">
        <f t="shared" si="17"/>
        <v>20607</v>
      </c>
    </row>
    <row r="384" spans="1:24" x14ac:dyDescent="0.25">
      <c r="A384">
        <v>405</v>
      </c>
      <c r="B384" t="s">
        <v>351</v>
      </c>
      <c r="C384" t="s">
        <v>1492</v>
      </c>
      <c r="D384" t="s">
        <v>23</v>
      </c>
      <c r="E384" t="s">
        <v>1493</v>
      </c>
      <c r="F384" t="s">
        <v>517</v>
      </c>
      <c r="G384" t="s">
        <v>351</v>
      </c>
      <c r="H384" t="b">
        <v>0</v>
      </c>
      <c r="I384" t="s">
        <v>1804</v>
      </c>
      <c r="J384" t="s">
        <v>1494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27">
        <v>2715518274227</v>
      </c>
      <c r="R384">
        <v>82.5</v>
      </c>
      <c r="S384">
        <v>24.2</v>
      </c>
      <c r="T384">
        <v>60.7</v>
      </c>
      <c r="U384">
        <v>67059887</v>
      </c>
      <c r="V384">
        <f t="shared" ca="1" si="15"/>
        <v>88.526348171163136</v>
      </c>
      <c r="W384" s="25">
        <f t="shared" ca="1" si="16"/>
        <v>46215</v>
      </c>
      <c r="X384" s="25">
        <f t="shared" si="17"/>
        <v>13881</v>
      </c>
    </row>
    <row r="385" spans="1:24" x14ac:dyDescent="0.25">
      <c r="A385">
        <v>405</v>
      </c>
      <c r="B385" t="s">
        <v>292</v>
      </c>
      <c r="C385" t="s">
        <v>1495</v>
      </c>
      <c r="D385" t="s">
        <v>105</v>
      </c>
      <c r="E385" t="s">
        <v>1496</v>
      </c>
      <c r="F385" t="s">
        <v>1497</v>
      </c>
      <c r="G385" t="s">
        <v>292</v>
      </c>
      <c r="H385" t="b">
        <v>1</v>
      </c>
      <c r="I385" t="s">
        <v>1804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27">
        <v>19910000000000</v>
      </c>
      <c r="R385">
        <v>77</v>
      </c>
      <c r="S385">
        <v>9.4</v>
      </c>
      <c r="T385">
        <v>59.2</v>
      </c>
      <c r="U385">
        <v>1397715000</v>
      </c>
      <c r="V385">
        <f t="shared" ca="1" si="15"/>
        <v>62.334709486767196</v>
      </c>
      <c r="W385" s="25">
        <f t="shared" ca="1" si="16"/>
        <v>46215</v>
      </c>
      <c r="X385" s="25">
        <f t="shared" si="17"/>
        <v>23447</v>
      </c>
    </row>
    <row r="386" spans="1:24" x14ac:dyDescent="0.25">
      <c r="A386">
        <v>405</v>
      </c>
      <c r="B386" t="s">
        <v>250</v>
      </c>
      <c r="C386" t="s">
        <v>1499</v>
      </c>
      <c r="D386" t="s">
        <v>665</v>
      </c>
      <c r="E386" t="s">
        <v>1500</v>
      </c>
      <c r="F386" t="s">
        <v>1501</v>
      </c>
      <c r="G386" t="s">
        <v>250</v>
      </c>
      <c r="H386" t="b">
        <v>1</v>
      </c>
      <c r="I386" t="s">
        <v>1804</v>
      </c>
      <c r="J386" t="s">
        <v>234</v>
      </c>
      <c r="K386" t="s">
        <v>1502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27">
        <v>395098666122</v>
      </c>
      <c r="R386">
        <v>82.8</v>
      </c>
      <c r="S386">
        <v>23.1</v>
      </c>
      <c r="T386">
        <v>25.3</v>
      </c>
      <c r="U386">
        <v>9053300</v>
      </c>
      <c r="V386">
        <f t="shared" ref="V386:V449" ca="1" si="18">YEARFRAC(X386,W386,1)</f>
        <v>99.989726213065865</v>
      </c>
      <c r="W386" s="25">
        <f t="shared" ca="1" si="16"/>
        <v>46215</v>
      </c>
      <c r="X386" s="25">
        <f t="shared" si="17"/>
        <v>9694</v>
      </c>
    </row>
    <row r="387" spans="1:24" x14ac:dyDescent="0.25">
      <c r="A387">
        <v>411</v>
      </c>
      <c r="B387" t="s">
        <v>103</v>
      </c>
      <c r="C387" t="s">
        <v>1503</v>
      </c>
      <c r="D387" t="s">
        <v>67</v>
      </c>
      <c r="E387" t="s">
        <v>68</v>
      </c>
      <c r="F387" t="s">
        <v>1504</v>
      </c>
      <c r="G387" t="s">
        <v>103</v>
      </c>
      <c r="H387" t="b">
        <v>0</v>
      </c>
      <c r="I387" t="s">
        <v>1803</v>
      </c>
      <c r="J387" t="s">
        <v>1505</v>
      </c>
      <c r="K387" t="s">
        <v>1506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27">
        <v>1258286717125</v>
      </c>
      <c r="R387">
        <v>75</v>
      </c>
      <c r="S387">
        <v>13.1</v>
      </c>
      <c r="T387">
        <v>55.1</v>
      </c>
      <c r="U387">
        <v>126014024</v>
      </c>
      <c r="V387">
        <f t="shared" ca="1" si="18"/>
        <v>63.195071868583163</v>
      </c>
      <c r="W387" s="25">
        <f t="shared" ref="W387:W450" ca="1" si="19">TODAY()</f>
        <v>46215</v>
      </c>
      <c r="X387" s="25">
        <f t="shared" ref="X387:X450" si="20">DATE(M387,N387,O387)</f>
        <v>23133</v>
      </c>
    </row>
    <row r="388" spans="1:24" x14ac:dyDescent="0.25">
      <c r="A388">
        <v>411</v>
      </c>
      <c r="B388" t="s">
        <v>72</v>
      </c>
      <c r="C388" t="s">
        <v>1507</v>
      </c>
      <c r="D388" t="s">
        <v>497</v>
      </c>
      <c r="E388" t="s">
        <v>498</v>
      </c>
      <c r="F388" t="s">
        <v>264</v>
      </c>
      <c r="G388" t="s">
        <v>72</v>
      </c>
      <c r="H388" t="b">
        <v>1</v>
      </c>
      <c r="I388" t="s">
        <v>1804</v>
      </c>
      <c r="J388" t="s">
        <v>1508</v>
      </c>
      <c r="K388" t="s">
        <v>1509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27">
        <v>530832908738</v>
      </c>
      <c r="R388">
        <v>82.5</v>
      </c>
      <c r="S388">
        <v>27.9</v>
      </c>
      <c r="T388">
        <v>49.1</v>
      </c>
      <c r="U388">
        <v>10285453</v>
      </c>
      <c r="V388">
        <f t="shared" ca="1" si="18"/>
        <v>88.35933798874089</v>
      </c>
      <c r="W388" s="25">
        <f t="shared" ca="1" si="19"/>
        <v>46215</v>
      </c>
      <c r="X388" s="25">
        <f t="shared" si="20"/>
        <v>13942</v>
      </c>
    </row>
    <row r="389" spans="1:24" x14ac:dyDescent="0.25">
      <c r="A389">
        <v>411</v>
      </c>
      <c r="B389" t="s">
        <v>381</v>
      </c>
      <c r="C389" t="s">
        <v>1510</v>
      </c>
      <c r="D389" t="s">
        <v>1511</v>
      </c>
      <c r="E389" t="s">
        <v>1512</v>
      </c>
      <c r="F389" t="s">
        <v>1513</v>
      </c>
      <c r="G389" t="s">
        <v>381</v>
      </c>
      <c r="H389" t="b">
        <v>1</v>
      </c>
      <c r="I389" t="s">
        <v>1804</v>
      </c>
      <c r="J389" t="s">
        <v>1514</v>
      </c>
      <c r="K389" t="s">
        <v>1515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27">
        <v>909070395161</v>
      </c>
      <c r="R389">
        <v>81.8</v>
      </c>
      <c r="S389">
        <v>23</v>
      </c>
      <c r="T389">
        <v>41.2</v>
      </c>
      <c r="U389">
        <v>17332850</v>
      </c>
      <c r="V389">
        <f t="shared" ca="1" si="18"/>
        <v>92.943174205574806</v>
      </c>
      <c r="W389" s="25">
        <f t="shared" ca="1" si="19"/>
        <v>46215</v>
      </c>
      <c r="X389" s="25">
        <f t="shared" si="20"/>
        <v>12268</v>
      </c>
    </row>
    <row r="390" spans="1:24" x14ac:dyDescent="0.25">
      <c r="A390">
        <v>411</v>
      </c>
      <c r="B390" t="s">
        <v>103</v>
      </c>
      <c r="C390" t="s">
        <v>1517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1804</v>
      </c>
      <c r="J390" t="s">
        <v>1386</v>
      </c>
      <c r="K390" t="s">
        <v>1518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27">
        <v>19910000000000</v>
      </c>
      <c r="R390">
        <v>77</v>
      </c>
      <c r="S390">
        <v>9.4</v>
      </c>
      <c r="T390">
        <v>59.2</v>
      </c>
      <c r="U390">
        <v>1397715000</v>
      </c>
      <c r="V390">
        <f t="shared" ca="1" si="18"/>
        <v>62.526356959714917</v>
      </c>
      <c r="W390" s="25">
        <f t="shared" ca="1" si="19"/>
        <v>46215</v>
      </c>
      <c r="X390" s="25">
        <f t="shared" si="20"/>
        <v>23377</v>
      </c>
    </row>
    <row r="391" spans="1:24" x14ac:dyDescent="0.25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1804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27">
        <v>19910000000000</v>
      </c>
      <c r="R391">
        <v>77</v>
      </c>
      <c r="S391">
        <v>9.4</v>
      </c>
      <c r="T391">
        <v>59.2</v>
      </c>
      <c r="U391">
        <v>1397715000</v>
      </c>
      <c r="V391">
        <f t="shared" ca="1" si="18"/>
        <v>62.526356959714917</v>
      </c>
      <c r="W391" s="25">
        <f t="shared" ca="1" si="19"/>
        <v>46215</v>
      </c>
      <c r="X391" s="25">
        <f t="shared" si="20"/>
        <v>23377</v>
      </c>
    </row>
    <row r="392" spans="1:24" x14ac:dyDescent="0.25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1804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27">
        <v>19910000000000</v>
      </c>
      <c r="R392">
        <v>77</v>
      </c>
      <c r="S392">
        <v>9.4</v>
      </c>
      <c r="T392">
        <v>59.2</v>
      </c>
      <c r="U392">
        <v>1397715000</v>
      </c>
      <c r="V392">
        <f t="shared" ca="1" si="18"/>
        <v>54.526357708198518</v>
      </c>
      <c r="W392" s="25">
        <f t="shared" ca="1" si="19"/>
        <v>46215</v>
      </c>
      <c r="X392" s="25">
        <f t="shared" si="20"/>
        <v>26299</v>
      </c>
    </row>
    <row r="393" spans="1:24" x14ac:dyDescent="0.25">
      <c r="A393">
        <v>411</v>
      </c>
      <c r="B393" t="s">
        <v>49</v>
      </c>
      <c r="C393" t="s">
        <v>1525</v>
      </c>
      <c r="D393" t="s">
        <v>1526</v>
      </c>
      <c r="E393" t="s">
        <v>1527</v>
      </c>
      <c r="F393" t="s">
        <v>264</v>
      </c>
      <c r="G393" t="s">
        <v>49</v>
      </c>
      <c r="H393" t="b">
        <v>1</v>
      </c>
      <c r="I393" t="s">
        <v>1804</v>
      </c>
      <c r="J393" t="s">
        <v>1528</v>
      </c>
      <c r="K393" t="s">
        <v>1529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27">
        <v>592164400688</v>
      </c>
      <c r="R393">
        <v>77.599999999999994</v>
      </c>
      <c r="S393">
        <v>17.399999999999999</v>
      </c>
      <c r="T393">
        <v>40.799999999999997</v>
      </c>
      <c r="U393">
        <v>37970874</v>
      </c>
      <c r="V393">
        <f t="shared" ca="1" si="18"/>
        <v>64.0034118192157</v>
      </c>
      <c r="W393" s="25">
        <f t="shared" ca="1" si="19"/>
        <v>46215</v>
      </c>
      <c r="X393" s="25">
        <f t="shared" si="20"/>
        <v>22838</v>
      </c>
    </row>
    <row r="394" spans="1:24" x14ac:dyDescent="0.25">
      <c r="A394">
        <v>418</v>
      </c>
      <c r="B394" t="s">
        <v>72</v>
      </c>
      <c r="C394" t="s">
        <v>1531</v>
      </c>
      <c r="D394" t="s">
        <v>565</v>
      </c>
      <c r="E394" t="s">
        <v>566</v>
      </c>
      <c r="F394" t="s">
        <v>1532</v>
      </c>
      <c r="G394" t="s">
        <v>72</v>
      </c>
      <c r="H394" t="b">
        <v>1</v>
      </c>
      <c r="I394" t="s">
        <v>1804</v>
      </c>
      <c r="J394" t="s">
        <v>1533</v>
      </c>
      <c r="K394" t="s">
        <v>733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27">
        <v>448120428859</v>
      </c>
      <c r="R394">
        <v>54.3</v>
      </c>
      <c r="S394">
        <v>1.5</v>
      </c>
      <c r="T394">
        <v>34.799999999999997</v>
      </c>
      <c r="U394">
        <v>200963599</v>
      </c>
      <c r="V394">
        <f t="shared" ca="1" si="18"/>
        <v>73.203270682255436</v>
      </c>
      <c r="W394" s="25">
        <f t="shared" ca="1" si="19"/>
        <v>46215</v>
      </c>
      <c r="X394" s="25">
        <f t="shared" si="20"/>
        <v>19478</v>
      </c>
    </row>
    <row r="395" spans="1:24" x14ac:dyDescent="0.25">
      <c r="A395">
        <v>418</v>
      </c>
      <c r="B395" t="s">
        <v>49</v>
      </c>
      <c r="C395" t="s">
        <v>1534</v>
      </c>
      <c r="D395" t="s">
        <v>32</v>
      </c>
      <c r="E395" t="s">
        <v>886</v>
      </c>
      <c r="F395" t="s">
        <v>802</v>
      </c>
      <c r="G395" t="s">
        <v>49</v>
      </c>
      <c r="H395" t="b">
        <v>1</v>
      </c>
      <c r="I395" t="s">
        <v>1804</v>
      </c>
      <c r="J395" t="s">
        <v>1535</v>
      </c>
      <c r="K395" t="s">
        <v>1536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27">
        <v>21427700000000</v>
      </c>
      <c r="R395">
        <v>78.5</v>
      </c>
      <c r="S395">
        <v>9.6</v>
      </c>
      <c r="T395">
        <v>36.6</v>
      </c>
      <c r="U395">
        <v>328239523</v>
      </c>
      <c r="V395">
        <f t="shared" ca="1" si="18"/>
        <v>61.945938898787539</v>
      </c>
      <c r="W395" s="25">
        <f t="shared" ca="1" si="19"/>
        <v>46215</v>
      </c>
      <c r="X395" s="25">
        <f t="shared" si="20"/>
        <v>23589</v>
      </c>
    </row>
    <row r="396" spans="1:24" x14ac:dyDescent="0.25">
      <c r="A396">
        <v>418</v>
      </c>
      <c r="B396" t="s">
        <v>21</v>
      </c>
      <c r="C396" t="s">
        <v>1537</v>
      </c>
      <c r="D396" t="s">
        <v>158</v>
      </c>
      <c r="E396" t="s">
        <v>896</v>
      </c>
      <c r="F396" t="s">
        <v>1538</v>
      </c>
      <c r="G396" t="s">
        <v>21</v>
      </c>
      <c r="H396" t="b">
        <v>0</v>
      </c>
      <c r="I396" t="s">
        <v>1804</v>
      </c>
      <c r="J396" t="s">
        <v>1539</v>
      </c>
      <c r="K396" t="s">
        <v>64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27">
        <v>3845630030824</v>
      </c>
      <c r="R396">
        <v>80.900000000000006</v>
      </c>
      <c r="S396">
        <v>11.5</v>
      </c>
      <c r="T396">
        <v>48.8</v>
      </c>
      <c r="U396">
        <v>83132799</v>
      </c>
      <c r="V396">
        <f t="shared" ca="1" si="18"/>
        <v>82.787132101300486</v>
      </c>
      <c r="W396" s="25">
        <f t="shared" ca="1" si="19"/>
        <v>46215</v>
      </c>
      <c r="X396" s="25">
        <f t="shared" si="20"/>
        <v>15977</v>
      </c>
    </row>
    <row r="397" spans="1:24" x14ac:dyDescent="0.25">
      <c r="A397">
        <v>418</v>
      </c>
      <c r="B397" t="s">
        <v>21</v>
      </c>
      <c r="C397" t="s">
        <v>1540</v>
      </c>
      <c r="D397" t="s">
        <v>158</v>
      </c>
      <c r="E397" t="s">
        <v>896</v>
      </c>
      <c r="F397" t="s">
        <v>1538</v>
      </c>
      <c r="G397" t="s">
        <v>21</v>
      </c>
      <c r="H397" t="b">
        <v>0</v>
      </c>
      <c r="I397" t="s">
        <v>1804</v>
      </c>
      <c r="J397" t="s">
        <v>1539</v>
      </c>
      <c r="K397" t="s">
        <v>1541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27">
        <v>3845630030824</v>
      </c>
      <c r="R397">
        <v>80.900000000000006</v>
      </c>
      <c r="S397">
        <v>11.5</v>
      </c>
      <c r="T397">
        <v>48.8</v>
      </c>
      <c r="U397">
        <v>83132799</v>
      </c>
      <c r="V397">
        <f t="shared" ca="1" si="18"/>
        <v>75.526351813826153</v>
      </c>
      <c r="W397" s="25">
        <f t="shared" ca="1" si="19"/>
        <v>46215</v>
      </c>
      <c r="X397" s="25">
        <f t="shared" si="20"/>
        <v>18629</v>
      </c>
    </row>
    <row r="398" spans="1:24" x14ac:dyDescent="0.25">
      <c r="A398">
        <v>425</v>
      </c>
      <c r="B398" t="s">
        <v>272</v>
      </c>
      <c r="C398" t="s">
        <v>1542</v>
      </c>
      <c r="D398" t="s">
        <v>327</v>
      </c>
      <c r="E398" t="s">
        <v>328</v>
      </c>
      <c r="F398" t="s">
        <v>1543</v>
      </c>
      <c r="G398" t="s">
        <v>272</v>
      </c>
      <c r="H398" t="b">
        <v>1</v>
      </c>
      <c r="I398" t="s">
        <v>1804</v>
      </c>
      <c r="J398" t="s">
        <v>1544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27">
        <v>1699876578871</v>
      </c>
      <c r="R398">
        <v>72.7</v>
      </c>
      <c r="S398">
        <v>11.4</v>
      </c>
      <c r="T398">
        <v>46.2</v>
      </c>
      <c r="U398">
        <v>144373535</v>
      </c>
      <c r="V398">
        <f t="shared" ca="1" si="18"/>
        <v>67.389459274469544</v>
      </c>
      <c r="W398" s="25">
        <f t="shared" ca="1" si="19"/>
        <v>46215</v>
      </c>
      <c r="X398" s="25">
        <f t="shared" si="20"/>
        <v>21601</v>
      </c>
    </row>
    <row r="399" spans="1:24" x14ac:dyDescent="0.25">
      <c r="A399">
        <v>425</v>
      </c>
      <c r="B399" t="s">
        <v>462</v>
      </c>
      <c r="C399" t="s">
        <v>1545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1804</v>
      </c>
      <c r="J399" t="s">
        <v>1546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27">
        <v>21427700000000</v>
      </c>
      <c r="R399">
        <v>78.5</v>
      </c>
      <c r="S399">
        <v>9.6</v>
      </c>
      <c r="T399">
        <v>36.6</v>
      </c>
      <c r="U399">
        <v>328239523</v>
      </c>
      <c r="V399">
        <f t="shared" ca="1" si="18"/>
        <v>88.496231580890267</v>
      </c>
      <c r="W399" s="25">
        <f t="shared" ca="1" si="19"/>
        <v>46215</v>
      </c>
      <c r="X399" s="25">
        <f t="shared" si="20"/>
        <v>13892</v>
      </c>
    </row>
    <row r="400" spans="1:24" x14ac:dyDescent="0.25">
      <c r="A400">
        <v>425</v>
      </c>
      <c r="B400" t="s">
        <v>21</v>
      </c>
      <c r="C400" t="s">
        <v>1548</v>
      </c>
      <c r="D400" t="s">
        <v>133</v>
      </c>
      <c r="E400" t="s">
        <v>1549</v>
      </c>
      <c r="F400" t="s">
        <v>1550</v>
      </c>
      <c r="G400" t="s">
        <v>21</v>
      </c>
      <c r="H400" t="b">
        <v>1</v>
      </c>
      <c r="I400" t="s">
        <v>1804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27">
        <v>1736425629520</v>
      </c>
      <c r="R400">
        <v>81.900000000000006</v>
      </c>
      <c r="S400">
        <v>12.8</v>
      </c>
      <c r="T400">
        <v>24.5</v>
      </c>
      <c r="U400">
        <v>36991981</v>
      </c>
      <c r="V400">
        <f t="shared" ca="1" si="18"/>
        <v>77.39492435676928</v>
      </c>
      <c r="W400" s="25">
        <f t="shared" ca="1" si="19"/>
        <v>46215</v>
      </c>
      <c r="X400" s="25">
        <f t="shared" si="20"/>
        <v>17947</v>
      </c>
    </row>
    <row r="401" spans="1:24" x14ac:dyDescent="0.25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1554</v>
      </c>
      <c r="G401" t="s">
        <v>38</v>
      </c>
      <c r="H401" t="b">
        <v>1</v>
      </c>
      <c r="I401" t="s">
        <v>1804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27">
        <v>21427700000000</v>
      </c>
      <c r="R401">
        <v>78.5</v>
      </c>
      <c r="S401">
        <v>9.6</v>
      </c>
      <c r="T401">
        <v>36.6</v>
      </c>
      <c r="U401">
        <v>328239523</v>
      </c>
      <c r="V401">
        <f t="shared" ca="1" si="18"/>
        <v>66.87748117727584</v>
      </c>
      <c r="W401" s="25">
        <f t="shared" ca="1" si="19"/>
        <v>46215</v>
      </c>
      <c r="X401" s="25">
        <f t="shared" si="20"/>
        <v>21788</v>
      </c>
    </row>
    <row r="402" spans="1:24" x14ac:dyDescent="0.25">
      <c r="A402">
        <v>425</v>
      </c>
      <c r="B402" t="s">
        <v>21</v>
      </c>
      <c r="C402" t="s">
        <v>1557</v>
      </c>
      <c r="D402" t="s">
        <v>74</v>
      </c>
      <c r="E402" t="s">
        <v>75</v>
      </c>
      <c r="F402" t="s">
        <v>526</v>
      </c>
      <c r="G402" t="s">
        <v>21</v>
      </c>
      <c r="H402" t="b">
        <v>1</v>
      </c>
      <c r="I402" t="s">
        <v>1804</v>
      </c>
      <c r="J402" t="s">
        <v>527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27">
        <v>2611000000000</v>
      </c>
      <c r="R402">
        <v>69.400000000000006</v>
      </c>
      <c r="S402">
        <v>11.2</v>
      </c>
      <c r="T402">
        <v>49.7</v>
      </c>
      <c r="U402">
        <v>1366417754</v>
      </c>
      <c r="V402">
        <f t="shared" ca="1" si="18"/>
        <v>68.526347115308312</v>
      </c>
      <c r="W402" s="25">
        <f t="shared" ca="1" si="19"/>
        <v>46215</v>
      </c>
      <c r="X402" s="25">
        <f t="shared" si="20"/>
        <v>21186</v>
      </c>
    </row>
    <row r="403" spans="1:24" x14ac:dyDescent="0.25">
      <c r="A403">
        <v>425</v>
      </c>
      <c r="B403" t="s">
        <v>72</v>
      </c>
      <c r="C403" t="s">
        <v>1559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1804</v>
      </c>
      <c r="J403" t="s">
        <v>1560</v>
      </c>
      <c r="K403" t="s">
        <v>1561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27">
        <v>543649976166</v>
      </c>
      <c r="R403">
        <v>76.900000000000006</v>
      </c>
      <c r="S403">
        <v>14.9</v>
      </c>
      <c r="T403">
        <v>29.5</v>
      </c>
      <c r="U403">
        <v>69625582</v>
      </c>
      <c r="V403">
        <f t="shared" ca="1" si="18"/>
        <v>91.691297691945366</v>
      </c>
      <c r="W403" s="25">
        <f t="shared" ca="1" si="19"/>
        <v>46215</v>
      </c>
      <c r="X403" s="25">
        <f t="shared" si="20"/>
        <v>12725</v>
      </c>
    </row>
    <row r="404" spans="1:24" x14ac:dyDescent="0.25">
      <c r="A404">
        <v>425</v>
      </c>
      <c r="B404" t="s">
        <v>49</v>
      </c>
      <c r="C404" t="s">
        <v>1562</v>
      </c>
      <c r="D404" t="s">
        <v>665</v>
      </c>
      <c r="E404" t="s">
        <v>1500</v>
      </c>
      <c r="F404" t="s">
        <v>264</v>
      </c>
      <c r="G404" t="s">
        <v>49</v>
      </c>
      <c r="H404" t="b">
        <v>1</v>
      </c>
      <c r="I404" t="s">
        <v>1804</v>
      </c>
      <c r="J404" t="s">
        <v>1563</v>
      </c>
      <c r="K404" t="s">
        <v>1564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27">
        <v>395098666122</v>
      </c>
      <c r="R404">
        <v>82.8</v>
      </c>
      <c r="S404">
        <v>23.1</v>
      </c>
      <c r="T404">
        <v>25.3</v>
      </c>
      <c r="U404">
        <v>9053300</v>
      </c>
      <c r="V404">
        <f t="shared" ca="1" si="18"/>
        <v>95.721414660306522</v>
      </c>
      <c r="W404" s="25">
        <f t="shared" ca="1" si="19"/>
        <v>46215</v>
      </c>
      <c r="X404" s="25">
        <f t="shared" si="20"/>
        <v>11253</v>
      </c>
    </row>
    <row r="405" spans="1:24" x14ac:dyDescent="0.25">
      <c r="A405">
        <v>425</v>
      </c>
      <c r="B405" t="s">
        <v>49</v>
      </c>
      <c r="C405" t="s">
        <v>1565</v>
      </c>
      <c r="D405" t="s">
        <v>32</v>
      </c>
      <c r="E405" t="s">
        <v>831</v>
      </c>
      <c r="F405" t="s">
        <v>264</v>
      </c>
      <c r="G405" t="s">
        <v>49</v>
      </c>
      <c r="H405" t="b">
        <v>1</v>
      </c>
      <c r="I405" t="s">
        <v>1804</v>
      </c>
      <c r="J405" t="s">
        <v>1566</v>
      </c>
      <c r="K405" t="s">
        <v>64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27">
        <v>21427700000000</v>
      </c>
      <c r="R405">
        <v>78.5</v>
      </c>
      <c r="S405">
        <v>9.6</v>
      </c>
      <c r="T405">
        <v>36.6</v>
      </c>
      <c r="U405">
        <v>328239523</v>
      </c>
      <c r="V405">
        <f t="shared" ca="1" si="18"/>
        <v>80.022579009633247</v>
      </c>
      <c r="W405" s="25">
        <f t="shared" ca="1" si="19"/>
        <v>46215</v>
      </c>
      <c r="X405" s="25">
        <f t="shared" si="20"/>
        <v>16987</v>
      </c>
    </row>
    <row r="406" spans="1:24" x14ac:dyDescent="0.25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1804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27">
        <v>21427700000000</v>
      </c>
      <c r="R406">
        <v>78.5</v>
      </c>
      <c r="S406">
        <v>9.6</v>
      </c>
      <c r="T406">
        <v>36.6</v>
      </c>
      <c r="U406">
        <v>328239523</v>
      </c>
      <c r="V406">
        <f t="shared" ca="1" si="18"/>
        <v>75.028062970568101</v>
      </c>
      <c r="W406" s="25">
        <f t="shared" ca="1" si="19"/>
        <v>46215</v>
      </c>
      <c r="X406" s="25">
        <f t="shared" si="20"/>
        <v>18811</v>
      </c>
    </row>
    <row r="407" spans="1:24" x14ac:dyDescent="0.25">
      <c r="A407">
        <v>425</v>
      </c>
      <c r="B407" t="s">
        <v>21</v>
      </c>
      <c r="C407" t="s">
        <v>1570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1804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27">
        <v>21427700000000</v>
      </c>
      <c r="R407">
        <v>78.5</v>
      </c>
      <c r="S407">
        <v>9.6</v>
      </c>
      <c r="T407">
        <v>36.6</v>
      </c>
      <c r="U407">
        <v>328239523</v>
      </c>
      <c r="V407">
        <f t="shared" ca="1" si="18"/>
        <v>88.841871501581892</v>
      </c>
      <c r="W407" s="25">
        <f t="shared" ca="1" si="19"/>
        <v>46215</v>
      </c>
      <c r="X407" s="25">
        <f t="shared" si="20"/>
        <v>13766</v>
      </c>
    </row>
    <row r="408" spans="1:24" x14ac:dyDescent="0.25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1804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27">
        <v>19910000000000</v>
      </c>
      <c r="R408">
        <v>77</v>
      </c>
      <c r="S408">
        <v>9.4</v>
      </c>
      <c r="T408">
        <v>59.2</v>
      </c>
      <c r="U408">
        <v>1397715000</v>
      </c>
      <c r="V408">
        <f t="shared" ca="1" si="18"/>
        <v>63.526351813826146</v>
      </c>
      <c r="W408" s="25">
        <f t="shared" ca="1" si="19"/>
        <v>46215</v>
      </c>
      <c r="X408" s="25">
        <f t="shared" si="20"/>
        <v>23012</v>
      </c>
    </row>
    <row r="409" spans="1:24" x14ac:dyDescent="0.25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1804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27">
        <v>543649976166</v>
      </c>
      <c r="R409">
        <v>76.900000000000006</v>
      </c>
      <c r="S409">
        <v>14.9</v>
      </c>
      <c r="T409">
        <v>29.5</v>
      </c>
      <c r="U409">
        <v>69625582</v>
      </c>
      <c r="V409">
        <f t="shared" ca="1" si="18"/>
        <v>96.279940162014157</v>
      </c>
      <c r="W409" s="25">
        <f t="shared" ca="1" si="19"/>
        <v>46215</v>
      </c>
      <c r="X409" s="25">
        <f t="shared" si="20"/>
        <v>11049</v>
      </c>
    </row>
    <row r="410" spans="1:24" x14ac:dyDescent="0.25">
      <c r="A410">
        <v>437</v>
      </c>
      <c r="B410" t="s">
        <v>49</v>
      </c>
      <c r="C410" t="s">
        <v>1580</v>
      </c>
      <c r="D410" t="s">
        <v>32</v>
      </c>
      <c r="E410" t="s">
        <v>1581</v>
      </c>
      <c r="F410" t="s">
        <v>204</v>
      </c>
      <c r="G410" t="s">
        <v>49</v>
      </c>
      <c r="H410" t="b">
        <v>1</v>
      </c>
      <c r="I410" t="s">
        <v>1804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27">
        <v>21427700000000</v>
      </c>
      <c r="R410">
        <v>78.5</v>
      </c>
      <c r="S410">
        <v>9.6</v>
      </c>
      <c r="T410">
        <v>36.6</v>
      </c>
      <c r="U410">
        <v>328239523</v>
      </c>
      <c r="V410">
        <f t="shared" ca="1" si="18"/>
        <v>65.219696341159874</v>
      </c>
      <c r="W410" s="25">
        <f t="shared" ca="1" si="19"/>
        <v>46215</v>
      </c>
      <c r="X410" s="25">
        <f t="shared" si="20"/>
        <v>22394</v>
      </c>
    </row>
    <row r="411" spans="1:24" x14ac:dyDescent="0.25">
      <c r="A411">
        <v>437</v>
      </c>
      <c r="B411" t="s">
        <v>49</v>
      </c>
      <c r="C411" t="s">
        <v>1583</v>
      </c>
      <c r="D411" t="s">
        <v>32</v>
      </c>
      <c r="E411" t="s">
        <v>831</v>
      </c>
      <c r="F411" t="s">
        <v>1584</v>
      </c>
      <c r="G411" t="s">
        <v>49</v>
      </c>
      <c r="H411" t="b">
        <v>1</v>
      </c>
      <c r="I411" t="s">
        <v>1804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27">
        <v>21427700000000</v>
      </c>
      <c r="R411">
        <v>78.5</v>
      </c>
      <c r="S411">
        <v>9.6</v>
      </c>
      <c r="T411">
        <v>36.6</v>
      </c>
      <c r="U411">
        <v>328239523</v>
      </c>
      <c r="V411">
        <f t="shared" ca="1" si="18"/>
        <v>65.746077149395234</v>
      </c>
      <c r="W411" s="25">
        <f t="shared" ca="1" si="19"/>
        <v>46215</v>
      </c>
      <c r="X411" s="25">
        <f t="shared" si="20"/>
        <v>22201</v>
      </c>
    </row>
    <row r="412" spans="1:24" x14ac:dyDescent="0.25">
      <c r="A412">
        <v>437</v>
      </c>
      <c r="B412" t="s">
        <v>103</v>
      </c>
      <c r="C412" t="s">
        <v>1587</v>
      </c>
      <c r="D412" t="s">
        <v>105</v>
      </c>
      <c r="E412" t="s">
        <v>246</v>
      </c>
      <c r="F412" t="s">
        <v>1588</v>
      </c>
      <c r="G412" t="s">
        <v>103</v>
      </c>
      <c r="H412" t="b">
        <v>0</v>
      </c>
      <c r="I412" t="s">
        <v>1804</v>
      </c>
      <c r="J412" t="s">
        <v>1589</v>
      </c>
      <c r="K412" t="s">
        <v>1590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27">
        <v>19910000000000</v>
      </c>
      <c r="R412">
        <v>77</v>
      </c>
      <c r="S412">
        <v>9.4</v>
      </c>
      <c r="T412">
        <v>59.2</v>
      </c>
      <c r="U412">
        <v>1397715000</v>
      </c>
      <c r="V412">
        <f t="shared" ca="1" si="18"/>
        <v>69.488011890327371</v>
      </c>
      <c r="W412" s="25">
        <f t="shared" ca="1" si="19"/>
        <v>46215</v>
      </c>
      <c r="X412" s="25">
        <f t="shared" si="20"/>
        <v>20835</v>
      </c>
    </row>
    <row r="413" spans="1:24" x14ac:dyDescent="0.25">
      <c r="A413">
        <v>442</v>
      </c>
      <c r="B413" t="s">
        <v>49</v>
      </c>
      <c r="C413" t="s">
        <v>1591</v>
      </c>
      <c r="D413" t="s">
        <v>32</v>
      </c>
      <c r="E413" t="s">
        <v>203</v>
      </c>
      <c r="F413" t="s">
        <v>802</v>
      </c>
      <c r="G413" t="s">
        <v>49</v>
      </c>
      <c r="H413" t="b">
        <v>1</v>
      </c>
      <c r="I413" t="s">
        <v>1804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27">
        <v>21427700000000</v>
      </c>
      <c r="R413">
        <v>78.5</v>
      </c>
      <c r="S413">
        <v>9.6</v>
      </c>
      <c r="T413">
        <v>36.6</v>
      </c>
      <c r="U413">
        <v>328239523</v>
      </c>
      <c r="V413">
        <f t="shared" ca="1" si="18"/>
        <v>61.53252792142888</v>
      </c>
      <c r="W413" s="25">
        <f t="shared" ca="1" si="19"/>
        <v>46215</v>
      </c>
      <c r="X413" s="25">
        <f t="shared" si="20"/>
        <v>23740</v>
      </c>
    </row>
    <row r="414" spans="1:24" x14ac:dyDescent="0.25">
      <c r="A414">
        <v>442</v>
      </c>
      <c r="B414" t="s">
        <v>351</v>
      </c>
      <c r="C414" t="s">
        <v>1594</v>
      </c>
      <c r="D414" t="s">
        <v>1195</v>
      </c>
      <c r="E414" t="s">
        <v>1595</v>
      </c>
      <c r="F414" t="s">
        <v>548</v>
      </c>
      <c r="G414" t="s">
        <v>351</v>
      </c>
      <c r="H414" t="b">
        <v>0</v>
      </c>
      <c r="I414" t="s">
        <v>1804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27">
        <v>348078018464</v>
      </c>
      <c r="R414">
        <v>81</v>
      </c>
      <c r="S414">
        <v>32.4</v>
      </c>
      <c r="T414">
        <v>23.8</v>
      </c>
      <c r="U414">
        <v>5818553</v>
      </c>
      <c r="V414">
        <f t="shared" ca="1" si="18"/>
        <v>78.713210130047912</v>
      </c>
      <c r="W414" s="25">
        <f t="shared" ca="1" si="19"/>
        <v>46215</v>
      </c>
      <c r="X414" s="25">
        <f t="shared" si="20"/>
        <v>17465</v>
      </c>
    </row>
    <row r="415" spans="1:24" x14ac:dyDescent="0.25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517</v>
      </c>
      <c r="G415" t="s">
        <v>351</v>
      </c>
      <c r="H415" t="b">
        <v>1</v>
      </c>
      <c r="I415" t="s">
        <v>1804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27">
        <v>21427700000000</v>
      </c>
      <c r="R415">
        <v>78.5</v>
      </c>
      <c r="S415">
        <v>9.6</v>
      </c>
      <c r="T415">
        <v>36.6</v>
      </c>
      <c r="U415">
        <v>328239523</v>
      </c>
      <c r="V415">
        <f t="shared" ca="1" si="18"/>
        <v>73.95141271811346</v>
      </c>
      <c r="W415" s="25">
        <f t="shared" ca="1" si="19"/>
        <v>46215</v>
      </c>
      <c r="X415" s="25">
        <f t="shared" si="20"/>
        <v>19204</v>
      </c>
    </row>
    <row r="416" spans="1:24" x14ac:dyDescent="0.25">
      <c r="A416">
        <v>445</v>
      </c>
      <c r="B416" t="s">
        <v>272</v>
      </c>
      <c r="C416" t="s">
        <v>1600</v>
      </c>
      <c r="D416" t="s">
        <v>1601</v>
      </c>
      <c r="E416" t="s">
        <v>1602</v>
      </c>
      <c r="F416" t="s">
        <v>1603</v>
      </c>
      <c r="G416" t="s">
        <v>272</v>
      </c>
      <c r="H416" t="b">
        <v>1</v>
      </c>
      <c r="I416" t="s">
        <v>1804</v>
      </c>
      <c r="J416" t="s">
        <v>1604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27">
        <v>153781069118</v>
      </c>
      <c r="R416">
        <v>71.599999999999994</v>
      </c>
      <c r="S416">
        <v>20.100000000000001</v>
      </c>
      <c r="T416">
        <v>45.2</v>
      </c>
      <c r="U416">
        <v>44385155</v>
      </c>
      <c r="V416">
        <f t="shared" ca="1" si="18"/>
        <v>59.806283662477561</v>
      </c>
      <c r="W416" s="25">
        <f t="shared" ca="1" si="19"/>
        <v>46215</v>
      </c>
      <c r="X416" s="25">
        <f t="shared" si="20"/>
        <v>24371</v>
      </c>
    </row>
    <row r="417" spans="1:24" x14ac:dyDescent="0.25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1319</v>
      </c>
      <c r="G417" t="s">
        <v>351</v>
      </c>
      <c r="H417" t="b">
        <v>1</v>
      </c>
      <c r="I417" t="s">
        <v>1804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27">
        <v>21427700000000</v>
      </c>
      <c r="R417">
        <v>78.5</v>
      </c>
      <c r="S417">
        <v>9.6</v>
      </c>
      <c r="T417">
        <v>36.6</v>
      </c>
      <c r="U417">
        <v>328239523</v>
      </c>
      <c r="V417">
        <f t="shared" ca="1" si="18"/>
        <v>91.822715496938301</v>
      </c>
      <c r="W417" s="25">
        <f t="shared" ca="1" si="19"/>
        <v>46215</v>
      </c>
      <c r="X417" s="25">
        <f t="shared" si="20"/>
        <v>12677</v>
      </c>
    </row>
    <row r="418" spans="1:24" x14ac:dyDescent="0.25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1804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27">
        <v>1736425629520</v>
      </c>
      <c r="R418">
        <v>81.900000000000006</v>
      </c>
      <c r="S418">
        <v>12.8</v>
      </c>
      <c r="T418">
        <v>24.5</v>
      </c>
      <c r="U418">
        <v>36991981</v>
      </c>
      <c r="V418">
        <f t="shared" ca="1" si="18"/>
        <v>96.526348471591064</v>
      </c>
      <c r="W418" s="25">
        <f t="shared" ca="1" si="19"/>
        <v>46215</v>
      </c>
      <c r="X418" s="25">
        <f t="shared" si="20"/>
        <v>10959</v>
      </c>
    </row>
    <row r="419" spans="1:24" x14ac:dyDescent="0.25">
      <c r="A419">
        <v>445</v>
      </c>
      <c r="B419" t="s">
        <v>462</v>
      </c>
      <c r="C419" t="s">
        <v>1612</v>
      </c>
      <c r="D419" t="s">
        <v>497</v>
      </c>
      <c r="E419" t="s">
        <v>498</v>
      </c>
      <c r="F419" t="s">
        <v>1211</v>
      </c>
      <c r="G419" t="s">
        <v>462</v>
      </c>
      <c r="H419" t="b">
        <v>0</v>
      </c>
      <c r="I419" t="s">
        <v>1804</v>
      </c>
      <c r="J419" t="s">
        <v>1613</v>
      </c>
      <c r="K419" t="s">
        <v>1614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27">
        <v>530832908738</v>
      </c>
      <c r="R419">
        <v>82.5</v>
      </c>
      <c r="S419">
        <v>27.9</v>
      </c>
      <c r="T419">
        <v>49.1</v>
      </c>
      <c r="U419">
        <v>10285453</v>
      </c>
      <c r="V419">
        <f t="shared" ca="1" si="18"/>
        <v>74.934976043805619</v>
      </c>
      <c r="W419" s="25">
        <f t="shared" ca="1" si="19"/>
        <v>46215</v>
      </c>
      <c r="X419" s="25">
        <f t="shared" si="20"/>
        <v>18845</v>
      </c>
    </row>
    <row r="420" spans="1:24" x14ac:dyDescent="0.25">
      <c r="A420">
        <v>445</v>
      </c>
      <c r="B420" t="s">
        <v>580</v>
      </c>
      <c r="C420" t="s">
        <v>1615</v>
      </c>
      <c r="D420" t="s">
        <v>170</v>
      </c>
      <c r="E420" t="s">
        <v>1616</v>
      </c>
      <c r="F420" t="s">
        <v>1187</v>
      </c>
      <c r="G420" t="s">
        <v>580</v>
      </c>
      <c r="H420" t="b">
        <v>0</v>
      </c>
      <c r="I420" t="s">
        <v>1804</v>
      </c>
      <c r="J420" t="s">
        <v>1617</v>
      </c>
      <c r="K420" t="s">
        <v>304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27">
        <v>703082435360</v>
      </c>
      <c r="R420">
        <v>83.6</v>
      </c>
      <c r="S420">
        <v>10.1</v>
      </c>
      <c r="T420">
        <v>28.8</v>
      </c>
      <c r="U420">
        <v>8574832</v>
      </c>
      <c r="V420">
        <f t="shared" ca="1" si="18"/>
        <v>80.568080133555924</v>
      </c>
      <c r="W420" s="25">
        <f t="shared" ca="1" si="19"/>
        <v>46215</v>
      </c>
      <c r="X420" s="25">
        <f t="shared" si="20"/>
        <v>16788</v>
      </c>
    </row>
    <row r="421" spans="1:24" x14ac:dyDescent="0.25">
      <c r="A421">
        <v>445</v>
      </c>
      <c r="B421" t="s">
        <v>49</v>
      </c>
      <c r="C421" t="s">
        <v>1618</v>
      </c>
      <c r="D421" t="s">
        <v>32</v>
      </c>
      <c r="E421" t="s">
        <v>61</v>
      </c>
      <c r="F421" t="s">
        <v>264</v>
      </c>
      <c r="G421" t="s">
        <v>49</v>
      </c>
      <c r="H421" t="b">
        <v>0</v>
      </c>
      <c r="I421" t="s">
        <v>1804</v>
      </c>
      <c r="J421" t="s">
        <v>1619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27">
        <v>21427700000000</v>
      </c>
      <c r="R421">
        <v>78.5</v>
      </c>
      <c r="S421">
        <v>9.6</v>
      </c>
      <c r="T421">
        <v>36.6</v>
      </c>
      <c r="U421">
        <v>328239523</v>
      </c>
      <c r="V421">
        <f t="shared" ca="1" si="18"/>
        <v>54.691307323750856</v>
      </c>
      <c r="W421" s="25">
        <f t="shared" ca="1" si="19"/>
        <v>46215</v>
      </c>
      <c r="X421" s="25">
        <f t="shared" si="20"/>
        <v>26239</v>
      </c>
    </row>
    <row r="422" spans="1:24" x14ac:dyDescent="0.25">
      <c r="A422">
        <v>445</v>
      </c>
      <c r="B422" t="s">
        <v>49</v>
      </c>
      <c r="C422" t="s">
        <v>1620</v>
      </c>
      <c r="D422" t="s">
        <v>32</v>
      </c>
      <c r="E422" t="s">
        <v>1621</v>
      </c>
      <c r="F422" t="s">
        <v>264</v>
      </c>
      <c r="G422" t="s">
        <v>49</v>
      </c>
      <c r="H422" t="b">
        <v>0</v>
      </c>
      <c r="I422" t="s">
        <v>1804</v>
      </c>
      <c r="J422" t="s">
        <v>1619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27">
        <v>21427700000000</v>
      </c>
      <c r="R422">
        <v>78.5</v>
      </c>
      <c r="S422">
        <v>9.6</v>
      </c>
      <c r="T422">
        <v>36.6</v>
      </c>
      <c r="U422">
        <v>328239523</v>
      </c>
      <c r="V422">
        <f t="shared" ca="1" si="18"/>
        <v>62.277215244882882</v>
      </c>
      <c r="W422" s="25">
        <f t="shared" ca="1" si="19"/>
        <v>46215</v>
      </c>
      <c r="X422" s="25">
        <f t="shared" si="20"/>
        <v>23468</v>
      </c>
    </row>
    <row r="423" spans="1:24" x14ac:dyDescent="0.25">
      <c r="A423">
        <v>445</v>
      </c>
      <c r="B423" t="s">
        <v>49</v>
      </c>
      <c r="C423" t="s">
        <v>1623</v>
      </c>
      <c r="D423" t="s">
        <v>32</v>
      </c>
      <c r="E423" t="s">
        <v>61</v>
      </c>
      <c r="F423" t="s">
        <v>264</v>
      </c>
      <c r="G423" t="s">
        <v>49</v>
      </c>
      <c r="H423" t="b">
        <v>0</v>
      </c>
      <c r="I423" t="s">
        <v>1804</v>
      </c>
      <c r="J423" t="s">
        <v>1619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27">
        <v>21427700000000</v>
      </c>
      <c r="R423">
        <v>78.5</v>
      </c>
      <c r="S423">
        <v>9.6</v>
      </c>
      <c r="T423">
        <v>36.6</v>
      </c>
      <c r="U423">
        <v>328239523</v>
      </c>
      <c r="V423">
        <f t="shared" ca="1" si="18"/>
        <v>59.915798922800718</v>
      </c>
      <c r="W423" s="25">
        <f t="shared" ca="1" si="19"/>
        <v>46215</v>
      </c>
      <c r="X423" s="25">
        <f t="shared" si="20"/>
        <v>24331</v>
      </c>
    </row>
    <row r="424" spans="1:24" x14ac:dyDescent="0.25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1804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27">
        <v>21427700000000</v>
      </c>
      <c r="R424">
        <v>78.5</v>
      </c>
      <c r="S424">
        <v>9.6</v>
      </c>
      <c r="T424">
        <v>36.6</v>
      </c>
      <c r="U424">
        <v>328239523</v>
      </c>
      <c r="V424">
        <f t="shared" ca="1" si="18"/>
        <v>83.266255989048602</v>
      </c>
      <c r="W424" s="25">
        <f t="shared" ca="1" si="19"/>
        <v>46215</v>
      </c>
      <c r="X424" s="25">
        <f t="shared" si="20"/>
        <v>15802</v>
      </c>
    </row>
    <row r="425" spans="1:24" x14ac:dyDescent="0.25">
      <c r="A425">
        <v>455</v>
      </c>
      <c r="B425" t="s">
        <v>168</v>
      </c>
      <c r="C425" t="s">
        <v>1628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1804</v>
      </c>
      <c r="J425" t="s">
        <v>1629</v>
      </c>
      <c r="K425" t="s">
        <v>1630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27">
        <v>19910000000000</v>
      </c>
      <c r="R425">
        <v>77</v>
      </c>
      <c r="S425">
        <v>9.4</v>
      </c>
      <c r="T425">
        <v>59.2</v>
      </c>
      <c r="U425">
        <v>1397715000</v>
      </c>
      <c r="V425">
        <f t="shared" ca="1" si="18"/>
        <v>55.61189298237187</v>
      </c>
      <c r="W425" s="25">
        <f t="shared" ca="1" si="19"/>
        <v>46215</v>
      </c>
      <c r="X425" s="25">
        <f t="shared" si="20"/>
        <v>25903</v>
      </c>
    </row>
    <row r="426" spans="1:24" x14ac:dyDescent="0.25">
      <c r="A426">
        <v>455</v>
      </c>
      <c r="B426" t="s">
        <v>30</v>
      </c>
      <c r="C426" t="s">
        <v>1631</v>
      </c>
      <c r="D426" t="s">
        <v>74</v>
      </c>
      <c r="E426" t="s">
        <v>288</v>
      </c>
      <c r="F426" t="s">
        <v>1632</v>
      </c>
      <c r="G426" t="s">
        <v>30</v>
      </c>
      <c r="H426" t="b">
        <v>0</v>
      </c>
      <c r="I426" t="s">
        <v>1804</v>
      </c>
      <c r="J426" t="s">
        <v>1633</v>
      </c>
      <c r="K426" t="s">
        <v>1634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27">
        <v>2611000000000</v>
      </c>
      <c r="R426">
        <v>69.400000000000006</v>
      </c>
      <c r="S426">
        <v>11.2</v>
      </c>
      <c r="T426">
        <v>49.7</v>
      </c>
      <c r="U426">
        <v>1366417754</v>
      </c>
      <c r="V426">
        <f t="shared" ca="1" si="18"/>
        <v>84.353862011209173</v>
      </c>
      <c r="W426" s="25">
        <f t="shared" ca="1" si="19"/>
        <v>46215</v>
      </c>
      <c r="X426" s="25">
        <f t="shared" si="20"/>
        <v>15405</v>
      </c>
    </row>
    <row r="427" spans="1:24" x14ac:dyDescent="0.25">
      <c r="A427">
        <v>455</v>
      </c>
      <c r="B427" t="s">
        <v>49</v>
      </c>
      <c r="C427" t="s">
        <v>1635</v>
      </c>
      <c r="D427" t="s">
        <v>32</v>
      </c>
      <c r="E427" t="s">
        <v>1636</v>
      </c>
      <c r="F427" t="s">
        <v>264</v>
      </c>
      <c r="G427" t="s">
        <v>49</v>
      </c>
      <c r="H427" t="b">
        <v>1</v>
      </c>
      <c r="I427" t="s">
        <v>1804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27">
        <v>21427700000000</v>
      </c>
      <c r="R427">
        <v>78.5</v>
      </c>
      <c r="S427">
        <v>9.6</v>
      </c>
      <c r="T427">
        <v>36.6</v>
      </c>
      <c r="U427">
        <v>328239523</v>
      </c>
      <c r="V427">
        <f t="shared" ca="1" si="18"/>
        <v>90.81998631074606</v>
      </c>
      <c r="W427" s="25">
        <f t="shared" ca="1" si="19"/>
        <v>46215</v>
      </c>
      <c r="X427" s="25">
        <f t="shared" si="20"/>
        <v>13043</v>
      </c>
    </row>
    <row r="428" spans="1:24" x14ac:dyDescent="0.25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1639</v>
      </c>
      <c r="G428" t="s">
        <v>351</v>
      </c>
      <c r="H428" t="b">
        <v>1</v>
      </c>
      <c r="I428" t="s">
        <v>1804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27">
        <v>19910000000000</v>
      </c>
      <c r="R428">
        <v>77</v>
      </c>
      <c r="S428">
        <v>9.4</v>
      </c>
      <c r="T428">
        <v>59.2</v>
      </c>
      <c r="U428">
        <v>1397715000</v>
      </c>
      <c r="V428">
        <f t="shared" ca="1" si="18"/>
        <v>59.526351813826146</v>
      </c>
      <c r="W428" s="25">
        <f t="shared" ca="1" si="19"/>
        <v>46215</v>
      </c>
      <c r="X428" s="25">
        <f t="shared" si="20"/>
        <v>24473</v>
      </c>
    </row>
    <row r="429" spans="1:24" x14ac:dyDescent="0.25">
      <c r="A429">
        <v>455</v>
      </c>
      <c r="B429" t="s">
        <v>49</v>
      </c>
      <c r="C429" t="s">
        <v>1641</v>
      </c>
      <c r="D429" t="s">
        <v>32</v>
      </c>
      <c r="E429" t="s">
        <v>1642</v>
      </c>
      <c r="F429" t="s">
        <v>1643</v>
      </c>
      <c r="G429" t="s">
        <v>49</v>
      </c>
      <c r="H429" t="b">
        <v>0</v>
      </c>
      <c r="I429" t="s">
        <v>1803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27">
        <v>21427700000000</v>
      </c>
      <c r="R429">
        <v>78.5</v>
      </c>
      <c r="S429">
        <v>9.6</v>
      </c>
      <c r="T429">
        <v>36.6</v>
      </c>
      <c r="U429">
        <v>328239523</v>
      </c>
      <c r="V429">
        <f t="shared" ca="1" si="18"/>
        <v>68.509919847631139</v>
      </c>
      <c r="W429" s="25">
        <f t="shared" ca="1" si="19"/>
        <v>46215</v>
      </c>
      <c r="X429" s="25">
        <f t="shared" si="20"/>
        <v>21192</v>
      </c>
    </row>
    <row r="430" spans="1:24" x14ac:dyDescent="0.25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1643</v>
      </c>
      <c r="G430" t="s">
        <v>381</v>
      </c>
      <c r="H430" t="b">
        <v>0</v>
      </c>
      <c r="I430" t="s">
        <v>1804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27">
        <v>21427700000000</v>
      </c>
      <c r="R430">
        <v>78.5</v>
      </c>
      <c r="S430">
        <v>9.6</v>
      </c>
      <c r="T430">
        <v>36.6</v>
      </c>
      <c r="U430">
        <v>328239523</v>
      </c>
      <c r="V430">
        <f t="shared" ca="1" si="18"/>
        <v>72.7925854669232</v>
      </c>
      <c r="W430" s="25">
        <f t="shared" ca="1" si="19"/>
        <v>46215</v>
      </c>
      <c r="X430" s="25">
        <f t="shared" si="20"/>
        <v>19628</v>
      </c>
    </row>
    <row r="431" spans="1:24" x14ac:dyDescent="0.25">
      <c r="A431">
        <v>455</v>
      </c>
      <c r="B431" t="s">
        <v>196</v>
      </c>
      <c r="C431" t="s">
        <v>1648</v>
      </c>
      <c r="D431" t="s">
        <v>665</v>
      </c>
      <c r="E431" t="s">
        <v>1500</v>
      </c>
      <c r="F431" t="s">
        <v>1649</v>
      </c>
      <c r="G431" t="s">
        <v>196</v>
      </c>
      <c r="H431" t="b">
        <v>1</v>
      </c>
      <c r="I431" t="s">
        <v>1804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27">
        <v>395098666122</v>
      </c>
      <c r="R431">
        <v>82.8</v>
      </c>
      <c r="S431">
        <v>23.1</v>
      </c>
      <c r="T431">
        <v>25.3</v>
      </c>
      <c r="U431">
        <v>9053300</v>
      </c>
      <c r="V431">
        <f t="shared" ca="1" si="18"/>
        <v>54.69404517453799</v>
      </c>
      <c r="W431" s="25">
        <f t="shared" ca="1" si="19"/>
        <v>46215</v>
      </c>
      <c r="X431" s="25">
        <f t="shared" si="20"/>
        <v>26238</v>
      </c>
    </row>
    <row r="432" spans="1:24" x14ac:dyDescent="0.25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1804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27">
        <v>2029000000000</v>
      </c>
      <c r="R432">
        <v>82.6</v>
      </c>
      <c r="S432">
        <v>15.6</v>
      </c>
      <c r="T432">
        <v>33.200000000000003</v>
      </c>
      <c r="U432">
        <v>51709098</v>
      </c>
      <c r="V432">
        <f t="shared" ca="1" si="18"/>
        <v>68.718660773653539</v>
      </c>
      <c r="W432" s="25">
        <f t="shared" ca="1" si="19"/>
        <v>46215</v>
      </c>
      <c r="X432" s="25">
        <f t="shared" si="20"/>
        <v>21116</v>
      </c>
    </row>
    <row r="433" spans="1:24" x14ac:dyDescent="0.25">
      <c r="A433">
        <v>455</v>
      </c>
      <c r="B433" t="s">
        <v>30</v>
      </c>
      <c r="C433" t="s">
        <v>1656</v>
      </c>
      <c r="D433" t="s">
        <v>105</v>
      </c>
      <c r="E433" t="s">
        <v>827</v>
      </c>
      <c r="F433" t="s">
        <v>635</v>
      </c>
      <c r="G433" t="s">
        <v>30</v>
      </c>
      <c r="H433" t="b">
        <v>1</v>
      </c>
      <c r="I433" t="s">
        <v>1804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27">
        <v>19910000000000</v>
      </c>
      <c r="R433">
        <v>77</v>
      </c>
      <c r="S433">
        <v>9.4</v>
      </c>
      <c r="T433">
        <v>59.2</v>
      </c>
      <c r="U433">
        <v>1397715000</v>
      </c>
      <c r="V433">
        <f t="shared" ca="1" si="18"/>
        <v>62.526356959714917</v>
      </c>
      <c r="W433" s="25">
        <f t="shared" ca="1" si="19"/>
        <v>46215</v>
      </c>
      <c r="X433" s="25">
        <f t="shared" si="20"/>
        <v>23377</v>
      </c>
    </row>
    <row r="434" spans="1:24" x14ac:dyDescent="0.25">
      <c r="A434">
        <v>466</v>
      </c>
      <c r="B434" t="s">
        <v>381</v>
      </c>
      <c r="C434" t="s">
        <v>1658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1804</v>
      </c>
      <c r="J434" t="s">
        <v>1661</v>
      </c>
      <c r="K434" t="s">
        <v>1662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27">
        <v>21427700000000</v>
      </c>
      <c r="R434">
        <v>78.5</v>
      </c>
      <c r="S434">
        <v>9.6</v>
      </c>
      <c r="T434">
        <v>36.6</v>
      </c>
      <c r="U434">
        <v>328239523</v>
      </c>
      <c r="V434">
        <f t="shared" ca="1" si="18"/>
        <v>77.036259608971889</v>
      </c>
      <c r="W434" s="25">
        <f t="shared" ca="1" si="19"/>
        <v>46215</v>
      </c>
      <c r="X434" s="25">
        <f t="shared" si="20"/>
        <v>18078</v>
      </c>
    </row>
    <row r="435" spans="1:24" x14ac:dyDescent="0.25">
      <c r="A435">
        <v>466</v>
      </c>
      <c r="B435" t="s">
        <v>59</v>
      </c>
      <c r="C435" t="s">
        <v>1663</v>
      </c>
      <c r="D435" t="s">
        <v>32</v>
      </c>
      <c r="E435" t="s">
        <v>1664</v>
      </c>
      <c r="F435" t="s">
        <v>985</v>
      </c>
      <c r="G435" t="s">
        <v>59</v>
      </c>
      <c r="H435" t="b">
        <v>0</v>
      </c>
      <c r="I435" t="s">
        <v>1804</v>
      </c>
      <c r="J435" t="s">
        <v>1665</v>
      </c>
      <c r="K435" t="s">
        <v>350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27">
        <v>21427700000000</v>
      </c>
      <c r="R435">
        <v>78.5</v>
      </c>
      <c r="S435">
        <v>9.6</v>
      </c>
      <c r="T435">
        <v>36.6</v>
      </c>
      <c r="U435">
        <v>328239523</v>
      </c>
      <c r="V435">
        <f t="shared" ca="1" si="18"/>
        <v>69.249814213634764</v>
      </c>
      <c r="W435" s="25">
        <f t="shared" ca="1" si="19"/>
        <v>46215</v>
      </c>
      <c r="X435" s="25">
        <f t="shared" si="20"/>
        <v>20922</v>
      </c>
    </row>
    <row r="436" spans="1:24" x14ac:dyDescent="0.25">
      <c r="A436">
        <v>466</v>
      </c>
      <c r="B436" t="s">
        <v>38</v>
      </c>
      <c r="C436" t="s">
        <v>1666</v>
      </c>
      <c r="D436" t="s">
        <v>32</v>
      </c>
      <c r="E436" t="s">
        <v>856</v>
      </c>
      <c r="F436" t="s">
        <v>1667</v>
      </c>
      <c r="G436" t="s">
        <v>38</v>
      </c>
      <c r="H436" t="b">
        <v>1</v>
      </c>
      <c r="I436" t="s">
        <v>1804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27">
        <v>21427700000000</v>
      </c>
      <c r="R436">
        <v>78.5</v>
      </c>
      <c r="S436">
        <v>9.6</v>
      </c>
      <c r="T436">
        <v>36.6</v>
      </c>
      <c r="U436">
        <v>328239523</v>
      </c>
      <c r="V436">
        <f t="shared" ca="1" si="18"/>
        <v>35.932218440136154</v>
      </c>
      <c r="W436" s="25">
        <f t="shared" ca="1" si="19"/>
        <v>46215</v>
      </c>
      <c r="X436" s="25">
        <f t="shared" si="20"/>
        <v>33091</v>
      </c>
    </row>
    <row r="437" spans="1:24" x14ac:dyDescent="0.25">
      <c r="A437">
        <v>466</v>
      </c>
      <c r="B437" t="s">
        <v>38</v>
      </c>
      <c r="C437" t="s">
        <v>1669</v>
      </c>
      <c r="D437" t="s">
        <v>32</v>
      </c>
      <c r="E437" t="s">
        <v>856</v>
      </c>
      <c r="F437" t="s">
        <v>1670</v>
      </c>
      <c r="G437" t="s">
        <v>38</v>
      </c>
      <c r="H437" t="b">
        <v>1</v>
      </c>
      <c r="I437" t="s">
        <v>1804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27">
        <v>21427700000000</v>
      </c>
      <c r="R437">
        <v>78.5</v>
      </c>
      <c r="S437">
        <v>9.6</v>
      </c>
      <c r="T437">
        <v>36.6</v>
      </c>
      <c r="U437">
        <v>328239523</v>
      </c>
      <c r="V437">
        <f t="shared" ca="1" si="18"/>
        <v>37.836433836433834</v>
      </c>
      <c r="W437" s="25">
        <f t="shared" ca="1" si="19"/>
        <v>46215</v>
      </c>
      <c r="X437" s="25">
        <f t="shared" si="20"/>
        <v>32395</v>
      </c>
    </row>
    <row r="438" spans="1:24" x14ac:dyDescent="0.25">
      <c r="A438">
        <v>466</v>
      </c>
      <c r="B438" t="s">
        <v>250</v>
      </c>
      <c r="C438" t="s">
        <v>1671</v>
      </c>
      <c r="D438" t="s">
        <v>32</v>
      </c>
      <c r="E438" t="s">
        <v>1672</v>
      </c>
      <c r="F438" t="s">
        <v>1673</v>
      </c>
      <c r="G438" t="s">
        <v>250</v>
      </c>
      <c r="H438" t="b">
        <v>1</v>
      </c>
      <c r="I438" t="s">
        <v>1804</v>
      </c>
      <c r="J438" t="s">
        <v>1674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27">
        <v>21427700000000</v>
      </c>
      <c r="R438">
        <v>78.5</v>
      </c>
      <c r="S438">
        <v>9.6</v>
      </c>
      <c r="T438">
        <v>36.6</v>
      </c>
      <c r="U438">
        <v>328239523</v>
      </c>
      <c r="V438">
        <f t="shared" ca="1" si="18"/>
        <v>97.255294183382688</v>
      </c>
      <c r="W438" s="25">
        <f t="shared" ca="1" si="19"/>
        <v>46215</v>
      </c>
      <c r="X438" s="25">
        <f t="shared" si="20"/>
        <v>10693</v>
      </c>
    </row>
    <row r="439" spans="1:24" x14ac:dyDescent="0.25">
      <c r="A439">
        <v>466</v>
      </c>
      <c r="B439" t="s">
        <v>30</v>
      </c>
      <c r="C439" t="s">
        <v>1676</v>
      </c>
      <c r="D439" t="s">
        <v>680</v>
      </c>
      <c r="E439" t="s">
        <v>1677</v>
      </c>
      <c r="F439" t="s">
        <v>418</v>
      </c>
      <c r="G439" t="s">
        <v>30</v>
      </c>
      <c r="H439" t="b">
        <v>0</v>
      </c>
      <c r="I439" t="s">
        <v>1804</v>
      </c>
      <c r="J439" t="s">
        <v>1678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27">
        <v>2001244392042</v>
      </c>
      <c r="R439">
        <v>82.9</v>
      </c>
      <c r="S439">
        <v>24.3</v>
      </c>
      <c r="T439">
        <v>59.1</v>
      </c>
      <c r="U439">
        <v>60297396</v>
      </c>
      <c r="V439">
        <f t="shared" ca="1" si="18"/>
        <v>81.140300500834726</v>
      </c>
      <c r="W439" s="25">
        <f t="shared" ca="1" si="19"/>
        <v>46215</v>
      </c>
      <c r="X439" s="25">
        <f t="shared" si="20"/>
        <v>16579</v>
      </c>
    </row>
    <row r="440" spans="1:24" x14ac:dyDescent="0.25">
      <c r="A440">
        <v>466</v>
      </c>
      <c r="B440" t="s">
        <v>30</v>
      </c>
      <c r="C440" t="s">
        <v>1680</v>
      </c>
      <c r="D440" t="s">
        <v>32</v>
      </c>
      <c r="E440" t="s">
        <v>742</v>
      </c>
      <c r="F440" t="s">
        <v>1681</v>
      </c>
      <c r="G440" t="s">
        <v>30</v>
      </c>
      <c r="H440" t="b">
        <v>0</v>
      </c>
      <c r="I440" t="s">
        <v>1804</v>
      </c>
      <c r="J440" t="s">
        <v>1682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27">
        <v>21427700000000</v>
      </c>
      <c r="R440">
        <v>78.5</v>
      </c>
      <c r="S440">
        <v>9.6</v>
      </c>
      <c r="T440">
        <v>36.6</v>
      </c>
      <c r="U440">
        <v>328239523</v>
      </c>
      <c r="V440">
        <f t="shared" ca="1" si="18"/>
        <v>61.37028041510267</v>
      </c>
      <c r="W440" s="25">
        <f t="shared" ca="1" si="19"/>
        <v>46215</v>
      </c>
      <c r="X440" s="25">
        <f t="shared" si="20"/>
        <v>23800</v>
      </c>
    </row>
    <row r="441" spans="1:24" x14ac:dyDescent="0.25">
      <c r="A441">
        <v>466</v>
      </c>
      <c r="B441" t="s">
        <v>72</v>
      </c>
      <c r="C441" t="s">
        <v>1683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1804</v>
      </c>
      <c r="J441" t="s">
        <v>1611</v>
      </c>
      <c r="K441" t="s">
        <v>350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27">
        <v>1736425629520</v>
      </c>
      <c r="R441">
        <v>81.900000000000006</v>
      </c>
      <c r="S441">
        <v>12.8</v>
      </c>
      <c r="T441">
        <v>24.5</v>
      </c>
      <c r="U441">
        <v>36991981</v>
      </c>
      <c r="V441">
        <f t="shared" ca="1" si="18"/>
        <v>98.310066371681415</v>
      </c>
      <c r="W441" s="25">
        <f t="shared" ca="1" si="19"/>
        <v>46215</v>
      </c>
      <c r="X441" s="25">
        <f t="shared" si="20"/>
        <v>10307</v>
      </c>
    </row>
    <row r="442" spans="1:24" x14ac:dyDescent="0.25">
      <c r="A442">
        <v>466</v>
      </c>
      <c r="B442" t="s">
        <v>250</v>
      </c>
      <c r="C442" t="s">
        <v>1684</v>
      </c>
      <c r="D442" t="s">
        <v>105</v>
      </c>
      <c r="E442" t="s">
        <v>655</v>
      </c>
      <c r="F442" t="s">
        <v>348</v>
      </c>
      <c r="G442" t="s">
        <v>250</v>
      </c>
      <c r="H442" t="b">
        <v>1</v>
      </c>
      <c r="I442" t="s">
        <v>1804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27">
        <v>19910000000000</v>
      </c>
      <c r="R442">
        <v>77</v>
      </c>
      <c r="S442">
        <v>9.4</v>
      </c>
      <c r="T442">
        <v>59.2</v>
      </c>
      <c r="U442">
        <v>1397715000</v>
      </c>
      <c r="V442">
        <f t="shared" ca="1" si="18"/>
        <v>71.364818617385353</v>
      </c>
      <c r="W442" s="25">
        <f t="shared" ca="1" si="19"/>
        <v>46215</v>
      </c>
      <c r="X442" s="25">
        <f t="shared" si="20"/>
        <v>20149</v>
      </c>
    </row>
    <row r="443" spans="1:24" x14ac:dyDescent="0.25">
      <c r="A443">
        <v>466</v>
      </c>
      <c r="B443" t="s">
        <v>351</v>
      </c>
      <c r="C443" t="s">
        <v>1686</v>
      </c>
      <c r="D443" t="s">
        <v>158</v>
      </c>
      <c r="E443" t="s">
        <v>959</v>
      </c>
      <c r="F443" t="s">
        <v>517</v>
      </c>
      <c r="G443" t="s">
        <v>351</v>
      </c>
      <c r="H443" t="b">
        <v>1</v>
      </c>
      <c r="I443" t="s">
        <v>1804</v>
      </c>
      <c r="J443" t="s">
        <v>1687</v>
      </c>
      <c r="K443" t="s">
        <v>1541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27">
        <v>3845630030824</v>
      </c>
      <c r="R443">
        <v>80.900000000000006</v>
      </c>
      <c r="S443">
        <v>11.5</v>
      </c>
      <c r="T443">
        <v>48.8</v>
      </c>
      <c r="U443">
        <v>83132799</v>
      </c>
      <c r="V443">
        <f t="shared" ca="1" si="18"/>
        <v>85.104708541593709</v>
      </c>
      <c r="W443" s="25">
        <f t="shared" ca="1" si="19"/>
        <v>46215</v>
      </c>
      <c r="X443" s="25">
        <f t="shared" si="20"/>
        <v>15131</v>
      </c>
    </row>
    <row r="444" spans="1:24" x14ac:dyDescent="0.25">
      <c r="A444">
        <v>466</v>
      </c>
      <c r="B444" t="s">
        <v>49</v>
      </c>
      <c r="C444" t="s">
        <v>1688</v>
      </c>
      <c r="D444" t="s">
        <v>158</v>
      </c>
      <c r="E444" t="s">
        <v>1689</v>
      </c>
      <c r="F444" t="s">
        <v>517</v>
      </c>
      <c r="G444" t="s">
        <v>49</v>
      </c>
      <c r="H444" t="b">
        <v>0</v>
      </c>
      <c r="I444" t="s">
        <v>1804</v>
      </c>
      <c r="J444" t="s">
        <v>1690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27">
        <v>3845630030824</v>
      </c>
      <c r="R444">
        <v>80.900000000000006</v>
      </c>
      <c r="S444">
        <v>11.5</v>
      </c>
      <c r="T444">
        <v>48.8</v>
      </c>
      <c r="U444">
        <v>83132799</v>
      </c>
      <c r="V444">
        <f t="shared" ca="1" si="18"/>
        <v>61.526341355707657</v>
      </c>
      <c r="W444" s="25">
        <f t="shared" ca="1" si="19"/>
        <v>46215</v>
      </c>
      <c r="X444" s="25">
        <f t="shared" si="20"/>
        <v>23743</v>
      </c>
    </row>
    <row r="445" spans="1:24" x14ac:dyDescent="0.25">
      <c r="A445">
        <v>466</v>
      </c>
      <c r="B445" t="s">
        <v>250</v>
      </c>
      <c r="C445" t="s">
        <v>1692</v>
      </c>
      <c r="D445" t="s">
        <v>32</v>
      </c>
      <c r="E445" t="s">
        <v>1693</v>
      </c>
      <c r="F445" t="s">
        <v>1171</v>
      </c>
      <c r="G445" t="s">
        <v>250</v>
      </c>
      <c r="H445" t="b">
        <v>1</v>
      </c>
      <c r="I445" t="s">
        <v>1804</v>
      </c>
      <c r="J445" t="s">
        <v>1172</v>
      </c>
      <c r="K445" t="s">
        <v>1694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27">
        <v>21427700000000</v>
      </c>
      <c r="R445">
        <v>78.5</v>
      </c>
      <c r="S445">
        <v>9.6</v>
      </c>
      <c r="T445">
        <v>36.6</v>
      </c>
      <c r="U445">
        <v>328239523</v>
      </c>
      <c r="V445">
        <f t="shared" ca="1" si="18"/>
        <v>69.888443296186324</v>
      </c>
      <c r="W445" s="25">
        <f t="shared" ca="1" si="19"/>
        <v>46215</v>
      </c>
      <c r="X445" s="25">
        <f t="shared" si="20"/>
        <v>20688</v>
      </c>
    </row>
    <row r="446" spans="1:24" x14ac:dyDescent="0.25">
      <c r="A446">
        <v>466</v>
      </c>
      <c r="B446" t="s">
        <v>59</v>
      </c>
      <c r="C446" t="s">
        <v>1695</v>
      </c>
      <c r="D446" t="s">
        <v>32</v>
      </c>
      <c r="E446" t="s">
        <v>1696</v>
      </c>
      <c r="F446" t="s">
        <v>985</v>
      </c>
      <c r="G446" t="s">
        <v>59</v>
      </c>
      <c r="H446" t="b">
        <v>0</v>
      </c>
      <c r="I446" t="s">
        <v>1803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27">
        <v>21427700000000</v>
      </c>
      <c r="R446">
        <v>78.5</v>
      </c>
      <c r="S446">
        <v>9.6</v>
      </c>
      <c r="T446">
        <v>36.6</v>
      </c>
      <c r="U446">
        <v>328239523</v>
      </c>
      <c r="V446">
        <f t="shared" ca="1" si="18"/>
        <v>81.49622704507513</v>
      </c>
      <c r="W446" s="25">
        <f t="shared" ca="1" si="19"/>
        <v>46215</v>
      </c>
      <c r="X446" s="25">
        <f t="shared" si="20"/>
        <v>16449</v>
      </c>
    </row>
    <row r="447" spans="1:24" x14ac:dyDescent="0.25">
      <c r="A447">
        <v>466</v>
      </c>
      <c r="B447" t="s">
        <v>49</v>
      </c>
      <c r="C447" t="s">
        <v>1699</v>
      </c>
      <c r="D447" t="s">
        <v>32</v>
      </c>
      <c r="E447" t="s">
        <v>61</v>
      </c>
      <c r="F447" t="s">
        <v>204</v>
      </c>
      <c r="G447" t="s">
        <v>49</v>
      </c>
      <c r="H447" t="b">
        <v>1</v>
      </c>
      <c r="I447" t="s">
        <v>1804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27">
        <v>21427700000000</v>
      </c>
      <c r="R447">
        <v>78.5</v>
      </c>
      <c r="S447">
        <v>9.6</v>
      </c>
      <c r="T447">
        <v>36.6</v>
      </c>
      <c r="U447">
        <v>328239523</v>
      </c>
      <c r="V447">
        <f t="shared" ca="1" si="18"/>
        <v>81.885703918722783</v>
      </c>
      <c r="W447" s="25">
        <f t="shared" ca="1" si="19"/>
        <v>46215</v>
      </c>
      <c r="X447" s="25">
        <f t="shared" si="20"/>
        <v>16306</v>
      </c>
    </row>
    <row r="448" spans="1:24" x14ac:dyDescent="0.25">
      <c r="A448">
        <v>466</v>
      </c>
      <c r="B448" t="s">
        <v>351</v>
      </c>
      <c r="C448" t="s">
        <v>1702</v>
      </c>
      <c r="D448" t="s">
        <v>680</v>
      </c>
      <c r="E448" t="s">
        <v>1703</v>
      </c>
      <c r="F448" t="s">
        <v>1704</v>
      </c>
      <c r="G448" t="s">
        <v>351</v>
      </c>
      <c r="H448" t="b">
        <v>1</v>
      </c>
      <c r="I448" t="s">
        <v>1804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27">
        <v>2001244392042</v>
      </c>
      <c r="R448">
        <v>82.9</v>
      </c>
      <c r="S448">
        <v>24.3</v>
      </c>
      <c r="T448">
        <v>59.1</v>
      </c>
      <c r="U448">
        <v>60297396</v>
      </c>
      <c r="V448">
        <f t="shared" ca="1" si="18"/>
        <v>83.312799452429843</v>
      </c>
      <c r="W448" s="25">
        <f t="shared" ca="1" si="19"/>
        <v>46215</v>
      </c>
      <c r="X448" s="25">
        <f t="shared" si="20"/>
        <v>15785</v>
      </c>
    </row>
    <row r="449" spans="1:24" x14ac:dyDescent="0.25">
      <c r="A449">
        <v>466</v>
      </c>
      <c r="B449" t="s">
        <v>59</v>
      </c>
      <c r="C449" t="s">
        <v>1707</v>
      </c>
      <c r="D449" t="s">
        <v>32</v>
      </c>
      <c r="E449" t="s">
        <v>1708</v>
      </c>
      <c r="F449" t="s">
        <v>985</v>
      </c>
      <c r="G449" t="s">
        <v>59</v>
      </c>
      <c r="H449" t="b">
        <v>0</v>
      </c>
      <c r="I449" t="s">
        <v>1803</v>
      </c>
      <c r="J449" t="s">
        <v>1709</v>
      </c>
      <c r="K449" t="s">
        <v>1710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27">
        <v>21427700000000</v>
      </c>
      <c r="R449">
        <v>78.5</v>
      </c>
      <c r="S449">
        <v>9.6</v>
      </c>
      <c r="T449">
        <v>36.6</v>
      </c>
      <c r="U449">
        <v>328239523</v>
      </c>
      <c r="V449">
        <f t="shared" ca="1" si="18"/>
        <v>84.241609225020937</v>
      </c>
      <c r="W449" s="25">
        <f t="shared" ca="1" si="19"/>
        <v>46215</v>
      </c>
      <c r="X449" s="25">
        <f t="shared" si="20"/>
        <v>15446</v>
      </c>
    </row>
    <row r="450" spans="1:24" x14ac:dyDescent="0.25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731</v>
      </c>
      <c r="G450" t="s">
        <v>38</v>
      </c>
      <c r="H450" t="b">
        <v>1</v>
      </c>
      <c r="I450" t="s">
        <v>1804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27">
        <v>1392680589329</v>
      </c>
      <c r="R450">
        <v>82.7</v>
      </c>
      <c r="S450">
        <v>23</v>
      </c>
      <c r="T450">
        <v>47.4</v>
      </c>
      <c r="U450">
        <v>25766605</v>
      </c>
      <c r="V450">
        <f t="shared" ref="V450:V513" ca="1" si="21">YEARFRAC(X450,W450,1)</f>
        <v>71.279945242984255</v>
      </c>
      <c r="W450" s="25">
        <f t="shared" ca="1" si="19"/>
        <v>46215</v>
      </c>
      <c r="X450" s="25">
        <f t="shared" si="20"/>
        <v>20180</v>
      </c>
    </row>
    <row r="451" spans="1:24" x14ac:dyDescent="0.25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1803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27">
        <v>19910000000000</v>
      </c>
      <c r="R451">
        <v>77</v>
      </c>
      <c r="S451">
        <v>9.4</v>
      </c>
      <c r="T451">
        <v>59.2</v>
      </c>
      <c r="U451">
        <v>1397715000</v>
      </c>
      <c r="V451">
        <f t="shared" ca="1" si="21"/>
        <v>59.526351813826146</v>
      </c>
      <c r="W451" s="25">
        <f t="shared" ref="W451:W476" ca="1" si="22">TODAY()</f>
        <v>46215</v>
      </c>
      <c r="X451" s="25">
        <f t="shared" ref="X451:X476" si="23">DATE(M451,N451,O451)</f>
        <v>24473</v>
      </c>
    </row>
    <row r="452" spans="1:24" x14ac:dyDescent="0.25">
      <c r="A452">
        <v>486</v>
      </c>
      <c r="B452" t="s">
        <v>21</v>
      </c>
      <c r="C452" t="s">
        <v>1715</v>
      </c>
      <c r="D452" t="s">
        <v>680</v>
      </c>
      <c r="E452" t="s">
        <v>681</v>
      </c>
      <c r="F452" t="s">
        <v>165</v>
      </c>
      <c r="G452" t="s">
        <v>21</v>
      </c>
      <c r="H452" t="b">
        <v>1</v>
      </c>
      <c r="I452" t="s">
        <v>1804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27">
        <v>2001244392042</v>
      </c>
      <c r="R452">
        <v>82.9</v>
      </c>
      <c r="S452">
        <v>24.3</v>
      </c>
      <c r="T452">
        <v>59.1</v>
      </c>
      <c r="U452">
        <v>60297396</v>
      </c>
      <c r="V452">
        <f t="shared" ca="1" si="21"/>
        <v>80.526347811390906</v>
      </c>
      <c r="W452" s="25">
        <f t="shared" ca="1" si="22"/>
        <v>46215</v>
      </c>
      <c r="X452" s="25">
        <f t="shared" si="23"/>
        <v>16803</v>
      </c>
    </row>
    <row r="453" spans="1:24" x14ac:dyDescent="0.25">
      <c r="A453">
        <v>486</v>
      </c>
      <c r="B453" t="s">
        <v>250</v>
      </c>
      <c r="C453" t="s">
        <v>1718</v>
      </c>
      <c r="D453" t="s">
        <v>74</v>
      </c>
      <c r="E453" t="s">
        <v>75</v>
      </c>
      <c r="F453" t="s">
        <v>556</v>
      </c>
      <c r="G453" t="s">
        <v>250</v>
      </c>
      <c r="H453" t="b">
        <v>0</v>
      </c>
      <c r="I453" t="s">
        <v>1804</v>
      </c>
      <c r="J453" t="s">
        <v>1719</v>
      </c>
      <c r="K453" t="s">
        <v>1720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27">
        <v>2611000000000</v>
      </c>
      <c r="R453">
        <v>69.400000000000006</v>
      </c>
      <c r="S453">
        <v>11.2</v>
      </c>
      <c r="T453">
        <v>49.7</v>
      </c>
      <c r="U453">
        <v>1366417754</v>
      </c>
      <c r="V453">
        <f t="shared" ca="1" si="21"/>
        <v>85.230651682531601</v>
      </c>
      <c r="W453" s="25">
        <f t="shared" ca="1" si="22"/>
        <v>46215</v>
      </c>
      <c r="X453" s="25">
        <f t="shared" si="23"/>
        <v>15085</v>
      </c>
    </row>
    <row r="454" spans="1:24" x14ac:dyDescent="0.25">
      <c r="A454">
        <v>486</v>
      </c>
      <c r="B454" t="s">
        <v>49</v>
      </c>
      <c r="C454" t="s">
        <v>1721</v>
      </c>
      <c r="D454" t="s">
        <v>32</v>
      </c>
      <c r="E454" t="s">
        <v>1722</v>
      </c>
      <c r="F454" t="s">
        <v>1723</v>
      </c>
      <c r="G454" t="s">
        <v>49</v>
      </c>
      <c r="H454" t="b">
        <v>0</v>
      </c>
      <c r="I454" t="s">
        <v>1804</v>
      </c>
      <c r="J454" t="s">
        <v>1724</v>
      </c>
      <c r="K454" t="s">
        <v>1725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27">
        <v>21427700000000</v>
      </c>
      <c r="R454">
        <v>78.5</v>
      </c>
      <c r="S454">
        <v>9.6</v>
      </c>
      <c r="T454">
        <v>36.6</v>
      </c>
      <c r="U454">
        <v>328239523</v>
      </c>
      <c r="V454">
        <f t="shared" ca="1" si="21"/>
        <v>46.512669656899867</v>
      </c>
      <c r="W454" s="25">
        <f t="shared" ca="1" si="22"/>
        <v>46215</v>
      </c>
      <c r="X454" s="25">
        <f t="shared" si="23"/>
        <v>29226</v>
      </c>
    </row>
    <row r="455" spans="1:24" x14ac:dyDescent="0.25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1804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27">
        <v>372062527489</v>
      </c>
      <c r="R455">
        <v>83.1</v>
      </c>
      <c r="S455">
        <v>13.1</v>
      </c>
      <c r="T455">
        <v>21</v>
      </c>
      <c r="U455">
        <v>5703569</v>
      </c>
      <c r="V455">
        <f t="shared" ca="1" si="21"/>
        <v>71.403148528405197</v>
      </c>
      <c r="W455" s="25">
        <f t="shared" ca="1" si="22"/>
        <v>46215</v>
      </c>
      <c r="X455" s="25">
        <f t="shared" si="23"/>
        <v>20135</v>
      </c>
    </row>
    <row r="456" spans="1:24" x14ac:dyDescent="0.25">
      <c r="A456">
        <v>486</v>
      </c>
      <c r="B456" t="s">
        <v>72</v>
      </c>
      <c r="C456" t="s">
        <v>1729</v>
      </c>
      <c r="D456" t="s">
        <v>105</v>
      </c>
      <c r="E456" t="s">
        <v>1730</v>
      </c>
      <c r="F456" t="s">
        <v>1731</v>
      </c>
      <c r="G456" t="s">
        <v>72</v>
      </c>
      <c r="H456" t="b">
        <v>1</v>
      </c>
      <c r="I456" t="s">
        <v>1804</v>
      </c>
      <c r="J456" t="s">
        <v>1732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27">
        <v>19910000000000</v>
      </c>
      <c r="R456">
        <v>77</v>
      </c>
      <c r="S456">
        <v>9.4</v>
      </c>
      <c r="T456">
        <v>59.2</v>
      </c>
      <c r="U456">
        <v>1397715000</v>
      </c>
      <c r="V456">
        <f t="shared" ca="1" si="21"/>
        <v>61.526341355707657</v>
      </c>
      <c r="W456" s="25">
        <f t="shared" ca="1" si="22"/>
        <v>46215</v>
      </c>
      <c r="X456" s="25">
        <f t="shared" si="23"/>
        <v>23743</v>
      </c>
    </row>
    <row r="457" spans="1:24" x14ac:dyDescent="0.25">
      <c r="A457">
        <v>486</v>
      </c>
      <c r="B457" t="s">
        <v>250</v>
      </c>
      <c r="C457" t="s">
        <v>1734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1804</v>
      </c>
      <c r="J457" t="s">
        <v>1737</v>
      </c>
      <c r="K457" t="s">
        <v>64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27">
        <v>703082435360</v>
      </c>
      <c r="R457">
        <v>83.6</v>
      </c>
      <c r="S457">
        <v>10.1</v>
      </c>
      <c r="T457">
        <v>28.8</v>
      </c>
      <c r="U457">
        <v>8574832</v>
      </c>
      <c r="V457">
        <f t="shared" ca="1" si="21"/>
        <v>80.430522224100045</v>
      </c>
      <c r="W457" s="25">
        <f t="shared" ca="1" si="22"/>
        <v>46215</v>
      </c>
      <c r="X457" s="25">
        <f t="shared" si="23"/>
        <v>16838</v>
      </c>
    </row>
    <row r="458" spans="1:24" x14ac:dyDescent="0.25">
      <c r="A458">
        <v>486</v>
      </c>
      <c r="B458" t="s">
        <v>21</v>
      </c>
      <c r="C458" t="s">
        <v>1738</v>
      </c>
      <c r="D458" t="s">
        <v>680</v>
      </c>
      <c r="E458" t="s">
        <v>681</v>
      </c>
      <c r="F458" t="s">
        <v>165</v>
      </c>
      <c r="G458" t="s">
        <v>21</v>
      </c>
      <c r="H458" t="b">
        <v>0</v>
      </c>
      <c r="I458" t="s">
        <v>1803</v>
      </c>
      <c r="J458" t="s">
        <v>1739</v>
      </c>
      <c r="K458" t="s">
        <v>1740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27">
        <v>2001244392042</v>
      </c>
      <c r="R458">
        <v>82.9</v>
      </c>
      <c r="S458">
        <v>24.3</v>
      </c>
      <c r="T458">
        <v>59.1</v>
      </c>
      <c r="U458">
        <v>60297396</v>
      </c>
      <c r="V458">
        <f t="shared" ca="1" si="21"/>
        <v>77.173154550879289</v>
      </c>
      <c r="W458" s="25">
        <f t="shared" ca="1" si="22"/>
        <v>46215</v>
      </c>
      <c r="X458" s="25">
        <f t="shared" si="23"/>
        <v>18028</v>
      </c>
    </row>
    <row r="459" spans="1:24" x14ac:dyDescent="0.25">
      <c r="A459">
        <v>486</v>
      </c>
      <c r="B459" t="s">
        <v>21</v>
      </c>
      <c r="C459" t="s">
        <v>1741</v>
      </c>
      <c r="D459" t="s">
        <v>158</v>
      </c>
      <c r="E459" t="s">
        <v>1742</v>
      </c>
      <c r="F459" t="s">
        <v>1743</v>
      </c>
      <c r="G459" t="s">
        <v>21</v>
      </c>
      <c r="H459" t="b">
        <v>0</v>
      </c>
      <c r="I459" t="s">
        <v>1804</v>
      </c>
      <c r="J459" t="s">
        <v>1744</v>
      </c>
      <c r="K459" t="s">
        <v>1541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27">
        <v>3845630030824</v>
      </c>
      <c r="R459">
        <v>80.900000000000006</v>
      </c>
      <c r="S459">
        <v>11.5</v>
      </c>
      <c r="T459">
        <v>48.8</v>
      </c>
      <c r="U459">
        <v>83132799</v>
      </c>
      <c r="V459">
        <f t="shared" ca="1" si="21"/>
        <v>73.767978389428336</v>
      </c>
      <c r="W459" s="25">
        <f t="shared" ca="1" si="22"/>
        <v>46215</v>
      </c>
      <c r="X459" s="25">
        <f t="shared" si="23"/>
        <v>19271</v>
      </c>
    </row>
    <row r="460" spans="1:24" x14ac:dyDescent="0.25">
      <c r="A460">
        <v>486</v>
      </c>
      <c r="B460" t="s">
        <v>21</v>
      </c>
      <c r="C460" t="s">
        <v>1745</v>
      </c>
      <c r="D460" t="s">
        <v>158</v>
      </c>
      <c r="E460" t="s">
        <v>1440</v>
      </c>
      <c r="F460" t="s">
        <v>1743</v>
      </c>
      <c r="G460" t="s">
        <v>21</v>
      </c>
      <c r="H460" t="b">
        <v>0</v>
      </c>
      <c r="I460" t="s">
        <v>1804</v>
      </c>
      <c r="J460" t="s">
        <v>1746</v>
      </c>
      <c r="K460" t="s">
        <v>1747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27">
        <v>3845630030824</v>
      </c>
      <c r="R460">
        <v>80.900000000000006</v>
      </c>
      <c r="S460">
        <v>11.5</v>
      </c>
      <c r="T460">
        <v>48.8</v>
      </c>
      <c r="U460">
        <v>83132799</v>
      </c>
      <c r="V460">
        <f t="shared" ca="1" si="21"/>
        <v>61.285405166703462</v>
      </c>
      <c r="W460" s="25">
        <f t="shared" ca="1" si="22"/>
        <v>46215</v>
      </c>
      <c r="X460" s="25">
        <f t="shared" si="23"/>
        <v>23831</v>
      </c>
    </row>
    <row r="461" spans="1:24" x14ac:dyDescent="0.25">
      <c r="A461">
        <v>486</v>
      </c>
      <c r="B461" t="s">
        <v>21</v>
      </c>
      <c r="C461" t="s">
        <v>1748</v>
      </c>
      <c r="D461" t="s">
        <v>208</v>
      </c>
      <c r="E461" t="s">
        <v>1081</v>
      </c>
      <c r="F461" t="s">
        <v>1743</v>
      </c>
      <c r="G461" t="s">
        <v>21</v>
      </c>
      <c r="H461" t="b">
        <v>0</v>
      </c>
      <c r="I461" t="s">
        <v>1804</v>
      </c>
      <c r="J461" t="s">
        <v>1746</v>
      </c>
      <c r="K461" t="s">
        <v>316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27">
        <v>446314739528</v>
      </c>
      <c r="R461">
        <v>81.599999999999994</v>
      </c>
      <c r="S461">
        <v>25.4</v>
      </c>
      <c r="T461">
        <v>51.4</v>
      </c>
      <c r="U461">
        <v>8877067</v>
      </c>
      <c r="V461">
        <f t="shared" ca="1" si="21"/>
        <v>62.997946611909654</v>
      </c>
      <c r="W461" s="25">
        <f t="shared" ca="1" si="22"/>
        <v>46215</v>
      </c>
      <c r="X461" s="25">
        <f t="shared" si="23"/>
        <v>23205</v>
      </c>
    </row>
    <row r="462" spans="1:24" x14ac:dyDescent="0.25">
      <c r="A462">
        <v>486</v>
      </c>
      <c r="B462" t="s">
        <v>21</v>
      </c>
      <c r="C462" t="s">
        <v>1749</v>
      </c>
      <c r="D462" t="s">
        <v>208</v>
      </c>
      <c r="E462" t="s">
        <v>1081</v>
      </c>
      <c r="F462" t="s">
        <v>1743</v>
      </c>
      <c r="G462" t="s">
        <v>21</v>
      </c>
      <c r="H462" t="b">
        <v>0</v>
      </c>
      <c r="I462" t="s">
        <v>1803</v>
      </c>
      <c r="J462" t="s">
        <v>1750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27">
        <v>446314739528</v>
      </c>
      <c r="R462">
        <v>81.599999999999994</v>
      </c>
      <c r="S462">
        <v>25.4</v>
      </c>
      <c r="T462">
        <v>51.4</v>
      </c>
      <c r="U462">
        <v>8877067</v>
      </c>
      <c r="V462">
        <f t="shared" ca="1" si="21"/>
        <v>74.759753593429153</v>
      </c>
      <c r="W462" s="25">
        <f t="shared" ca="1" si="22"/>
        <v>46215</v>
      </c>
      <c r="X462" s="25">
        <f t="shared" si="23"/>
        <v>18909</v>
      </c>
    </row>
    <row r="463" spans="1:24" x14ac:dyDescent="0.25">
      <c r="A463">
        <v>497</v>
      </c>
      <c r="B463" t="s">
        <v>49</v>
      </c>
      <c r="C463" t="s">
        <v>1752</v>
      </c>
      <c r="D463" t="s">
        <v>32</v>
      </c>
      <c r="E463" t="s">
        <v>1581</v>
      </c>
      <c r="F463" t="s">
        <v>1584</v>
      </c>
      <c r="G463" t="s">
        <v>49</v>
      </c>
      <c r="H463" t="b">
        <v>1</v>
      </c>
      <c r="I463" t="s">
        <v>1804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27">
        <v>21427700000000</v>
      </c>
      <c r="R463">
        <v>78.5</v>
      </c>
      <c r="S463">
        <v>9.6</v>
      </c>
      <c r="T463">
        <v>36.6</v>
      </c>
      <c r="U463">
        <v>328239523</v>
      </c>
      <c r="V463">
        <f t="shared" ca="1" si="21"/>
        <v>52.809004715306997</v>
      </c>
      <c r="W463" s="25">
        <f t="shared" ca="1" si="22"/>
        <v>46215</v>
      </c>
      <c r="X463" s="25">
        <f t="shared" si="23"/>
        <v>26927</v>
      </c>
    </row>
    <row r="464" spans="1:24" x14ac:dyDescent="0.25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1804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27">
        <v>21427700000000</v>
      </c>
      <c r="R464">
        <v>78.5</v>
      </c>
      <c r="S464">
        <v>9.6</v>
      </c>
      <c r="T464">
        <v>36.6</v>
      </c>
      <c r="U464">
        <v>328239523</v>
      </c>
      <c r="V464">
        <f t="shared" ca="1" si="21"/>
        <v>67.509924709103359</v>
      </c>
      <c r="W464" s="25">
        <f t="shared" ca="1" si="22"/>
        <v>46215</v>
      </c>
      <c r="X464" s="25">
        <f t="shared" si="23"/>
        <v>21557</v>
      </c>
    </row>
    <row r="465" spans="1:24" x14ac:dyDescent="0.25">
      <c r="A465">
        <v>497</v>
      </c>
      <c r="B465" t="s">
        <v>250</v>
      </c>
      <c r="C465" t="s">
        <v>1757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1804</v>
      </c>
      <c r="J465" t="s">
        <v>1761</v>
      </c>
      <c r="K465" t="s">
        <v>1762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27">
        <v>754411708203</v>
      </c>
      <c r="R465">
        <v>77.400000000000006</v>
      </c>
      <c r="S465">
        <v>17.899999999999999</v>
      </c>
      <c r="T465">
        <v>42.3</v>
      </c>
      <c r="U465">
        <v>83429615</v>
      </c>
      <c r="V465">
        <f t="shared" ca="1" si="21"/>
        <v>63.79259508866518</v>
      </c>
      <c r="W465" s="25">
        <f t="shared" ca="1" si="22"/>
        <v>46215</v>
      </c>
      <c r="X465" s="25">
        <f t="shared" si="23"/>
        <v>22915</v>
      </c>
    </row>
    <row r="466" spans="1:24" x14ac:dyDescent="0.25">
      <c r="A466">
        <v>497</v>
      </c>
      <c r="B466" t="s">
        <v>49</v>
      </c>
      <c r="C466" t="s">
        <v>1764</v>
      </c>
      <c r="D466" t="s">
        <v>32</v>
      </c>
      <c r="E466" t="s">
        <v>1339</v>
      </c>
      <c r="F466" t="s">
        <v>371</v>
      </c>
      <c r="G466" t="s">
        <v>49</v>
      </c>
      <c r="H466" t="b">
        <v>0</v>
      </c>
      <c r="I466" t="s">
        <v>1803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27">
        <v>21427700000000</v>
      </c>
      <c r="R466">
        <v>78.5</v>
      </c>
      <c r="S466">
        <v>9.6</v>
      </c>
      <c r="T466">
        <v>36.6</v>
      </c>
      <c r="U466">
        <v>328239523</v>
      </c>
      <c r="V466">
        <f t="shared" ca="1" si="21"/>
        <v>63.181382614647504</v>
      </c>
      <c r="W466" s="25">
        <f t="shared" ca="1" si="22"/>
        <v>46215</v>
      </c>
      <c r="X466" s="25">
        <f t="shared" si="23"/>
        <v>23138</v>
      </c>
    </row>
    <row r="467" spans="1:24" x14ac:dyDescent="0.25">
      <c r="A467">
        <v>497</v>
      </c>
      <c r="B467" t="s">
        <v>49</v>
      </c>
      <c r="C467" t="s">
        <v>1765</v>
      </c>
      <c r="D467" t="s">
        <v>32</v>
      </c>
      <c r="E467" t="s">
        <v>503</v>
      </c>
      <c r="F467" t="s">
        <v>922</v>
      </c>
      <c r="G467" t="s">
        <v>49</v>
      </c>
      <c r="H467" t="b">
        <v>1</v>
      </c>
      <c r="I467" t="s">
        <v>1804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27">
        <v>21427700000000</v>
      </c>
      <c r="R467">
        <v>78.5</v>
      </c>
      <c r="S467">
        <v>9.6</v>
      </c>
      <c r="T467">
        <v>36.6</v>
      </c>
      <c r="U467">
        <v>328239523</v>
      </c>
      <c r="V467">
        <f t="shared" ca="1" si="21"/>
        <v>69.02256815426135</v>
      </c>
      <c r="W467" s="25">
        <f t="shared" ca="1" si="22"/>
        <v>46215</v>
      </c>
      <c r="X467" s="25">
        <f t="shared" si="23"/>
        <v>21005</v>
      </c>
    </row>
    <row r="468" spans="1:24" x14ac:dyDescent="0.25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1089</v>
      </c>
      <c r="G468" t="s">
        <v>72</v>
      </c>
      <c r="H468" t="b">
        <v>0</v>
      </c>
      <c r="I468" t="s">
        <v>1804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27">
        <v>1119190780753</v>
      </c>
      <c r="R468">
        <v>71.5</v>
      </c>
      <c r="S468">
        <v>10.199999999999999</v>
      </c>
      <c r="T468">
        <v>30.1</v>
      </c>
      <c r="U468">
        <v>270203917</v>
      </c>
      <c r="V468">
        <f t="shared" ca="1" si="21"/>
        <v>82.162224567884948</v>
      </c>
      <c r="W468" s="25">
        <f t="shared" ca="1" si="22"/>
        <v>46215</v>
      </c>
      <c r="X468" s="25">
        <f t="shared" si="23"/>
        <v>16205</v>
      </c>
    </row>
    <row r="469" spans="1:24" x14ac:dyDescent="0.25">
      <c r="A469">
        <v>497</v>
      </c>
      <c r="B469" t="s">
        <v>49</v>
      </c>
      <c r="C469" t="s">
        <v>1770</v>
      </c>
      <c r="D469" t="s">
        <v>32</v>
      </c>
      <c r="E469" t="s">
        <v>379</v>
      </c>
      <c r="F469" t="s">
        <v>1643</v>
      </c>
      <c r="G469" t="s">
        <v>49</v>
      </c>
      <c r="H469" t="b">
        <v>0</v>
      </c>
      <c r="I469" t="s">
        <v>1804</v>
      </c>
      <c r="J469" t="s">
        <v>1644</v>
      </c>
      <c r="K469" t="s">
        <v>304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27">
        <v>21427700000000</v>
      </c>
      <c r="R469">
        <v>78.5</v>
      </c>
      <c r="S469">
        <v>9.6</v>
      </c>
      <c r="T469">
        <v>36.6</v>
      </c>
      <c r="U469">
        <v>328239523</v>
      </c>
      <c r="V469">
        <f t="shared" ca="1" si="21"/>
        <v>76.099239084056322</v>
      </c>
      <c r="W469" s="25">
        <f t="shared" ca="1" si="22"/>
        <v>46215</v>
      </c>
      <c r="X469" s="25">
        <f t="shared" si="23"/>
        <v>18420</v>
      </c>
    </row>
    <row r="470" spans="1:24" x14ac:dyDescent="0.25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1803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27">
        <v>21427700000000</v>
      </c>
      <c r="R470">
        <v>78.5</v>
      </c>
      <c r="S470">
        <v>9.6</v>
      </c>
      <c r="T470">
        <v>36.6</v>
      </c>
      <c r="U470">
        <v>328239523</v>
      </c>
      <c r="V470">
        <f t="shared" ca="1" si="21"/>
        <v>83.523613963039011</v>
      </c>
      <c r="W470" s="25">
        <f t="shared" ca="1" si="22"/>
        <v>46215</v>
      </c>
      <c r="X470" s="25">
        <f t="shared" si="23"/>
        <v>15708</v>
      </c>
    </row>
    <row r="471" spans="1:24" x14ac:dyDescent="0.25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1804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27">
        <v>21427700000000</v>
      </c>
      <c r="R471">
        <v>78.5</v>
      </c>
      <c r="S471">
        <v>9.6</v>
      </c>
      <c r="T471">
        <v>36.6</v>
      </c>
      <c r="U471">
        <v>328239523</v>
      </c>
      <c r="V471">
        <f t="shared" ca="1" si="21"/>
        <v>89.546212166797034</v>
      </c>
      <c r="W471" s="25">
        <f t="shared" ca="1" si="22"/>
        <v>46215</v>
      </c>
      <c r="X471" s="25">
        <f t="shared" si="23"/>
        <v>13508</v>
      </c>
    </row>
    <row r="472" spans="1:24" x14ac:dyDescent="0.25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1804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27">
        <v>21427700000000</v>
      </c>
      <c r="R472">
        <v>78.5</v>
      </c>
      <c r="S472">
        <v>9.6</v>
      </c>
      <c r="T472">
        <v>36.6</v>
      </c>
      <c r="U472">
        <v>328239523</v>
      </c>
      <c r="V472">
        <f t="shared" ca="1" si="21"/>
        <v>81.863801293046578</v>
      </c>
      <c r="W472" s="25">
        <f t="shared" ca="1" si="22"/>
        <v>46215</v>
      </c>
      <c r="X472" s="25">
        <f t="shared" si="23"/>
        <v>16314</v>
      </c>
    </row>
    <row r="473" spans="1:24" x14ac:dyDescent="0.25">
      <c r="A473">
        <v>497</v>
      </c>
      <c r="B473" t="s">
        <v>49</v>
      </c>
      <c r="C473" t="s">
        <v>1780</v>
      </c>
      <c r="D473" t="s">
        <v>32</v>
      </c>
      <c r="E473" t="s">
        <v>379</v>
      </c>
      <c r="F473" t="s">
        <v>1781</v>
      </c>
      <c r="G473" t="s">
        <v>49</v>
      </c>
      <c r="H473" t="b">
        <v>1</v>
      </c>
      <c r="I473" t="s">
        <v>1804</v>
      </c>
      <c r="J473" t="s">
        <v>1782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27">
        <v>21427700000000</v>
      </c>
      <c r="R473">
        <v>78.5</v>
      </c>
      <c r="S473">
        <v>9.6</v>
      </c>
      <c r="T473">
        <v>36.6</v>
      </c>
      <c r="U473">
        <v>328239523</v>
      </c>
      <c r="V473">
        <f t="shared" ca="1" si="21"/>
        <v>66.137585812356988</v>
      </c>
      <c r="W473" s="25">
        <f t="shared" ca="1" si="22"/>
        <v>46215</v>
      </c>
      <c r="X473" s="25">
        <f t="shared" si="23"/>
        <v>22058</v>
      </c>
    </row>
    <row r="474" spans="1:24" x14ac:dyDescent="0.25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1096</v>
      </c>
      <c r="G474" t="s">
        <v>250</v>
      </c>
      <c r="H474" t="b">
        <v>1</v>
      </c>
      <c r="I474" t="s">
        <v>1804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27">
        <v>21427700000000</v>
      </c>
      <c r="R474">
        <v>78.5</v>
      </c>
      <c r="S474">
        <v>9.6</v>
      </c>
      <c r="T474">
        <v>36.6</v>
      </c>
      <c r="U474">
        <v>328239523</v>
      </c>
      <c r="V474">
        <f t="shared" ca="1" si="21"/>
        <v>85.148514851485146</v>
      </c>
      <c r="W474" s="25">
        <f t="shared" ca="1" si="22"/>
        <v>46215</v>
      </c>
      <c r="X474" s="25">
        <f t="shared" si="23"/>
        <v>15115</v>
      </c>
    </row>
    <row r="475" spans="1:24" x14ac:dyDescent="0.25">
      <c r="A475">
        <v>497</v>
      </c>
      <c r="B475" t="s">
        <v>103</v>
      </c>
      <c r="C475" t="s">
        <v>1787</v>
      </c>
      <c r="D475" t="s">
        <v>158</v>
      </c>
      <c r="E475" t="s">
        <v>1788</v>
      </c>
      <c r="F475" t="s">
        <v>1789</v>
      </c>
      <c r="G475" t="s">
        <v>103</v>
      </c>
      <c r="H475" t="b">
        <v>1</v>
      </c>
      <c r="I475" t="s">
        <v>1804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27">
        <v>3845630030824</v>
      </c>
      <c r="R475">
        <v>80.900000000000006</v>
      </c>
      <c r="S475">
        <v>11.5</v>
      </c>
      <c r="T475">
        <v>48.8</v>
      </c>
      <c r="U475">
        <v>83132799</v>
      </c>
      <c r="V475">
        <f t="shared" ca="1" si="21"/>
        <v>81.110183639398997</v>
      </c>
      <c r="W475" s="25">
        <f t="shared" ca="1" si="22"/>
        <v>46215</v>
      </c>
      <c r="X475" s="25">
        <f t="shared" si="23"/>
        <v>16590</v>
      </c>
    </row>
    <row r="476" spans="1:24" x14ac:dyDescent="0.25">
      <c r="A476">
        <v>497</v>
      </c>
      <c r="B476" t="s">
        <v>21</v>
      </c>
      <c r="C476" t="s">
        <v>1792</v>
      </c>
      <c r="D476" t="s">
        <v>306</v>
      </c>
      <c r="E476" t="s">
        <v>1793</v>
      </c>
      <c r="F476" t="s">
        <v>160</v>
      </c>
      <c r="G476" t="s">
        <v>21</v>
      </c>
      <c r="H476" t="b">
        <v>1</v>
      </c>
      <c r="I476" t="s">
        <v>1804</v>
      </c>
      <c r="J476" t="s">
        <v>1794</v>
      </c>
      <c r="K476" t="s">
        <v>1795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27">
        <v>421142267938</v>
      </c>
      <c r="R476">
        <v>77.8</v>
      </c>
      <c r="S476">
        <v>0.1</v>
      </c>
      <c r="T476">
        <v>15.9</v>
      </c>
      <c r="U476">
        <v>9770529</v>
      </c>
      <c r="V476">
        <f t="shared" ca="1" si="21"/>
        <v>70.655715263518132</v>
      </c>
      <c r="W476" s="25">
        <f t="shared" ca="1" si="22"/>
        <v>46215</v>
      </c>
      <c r="X476" s="25">
        <f t="shared" si="23"/>
        <v>20408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admin</cp:lastModifiedBy>
  <cp:lastPrinted>2026-06-29T19:21:34Z</cp:lastPrinted>
  <dcterms:created xsi:type="dcterms:W3CDTF">2024-04-01T06:54:26Z</dcterms:created>
  <dcterms:modified xsi:type="dcterms:W3CDTF">2026-07-12T23:48:23Z</dcterms:modified>
</cp:coreProperties>
</file>